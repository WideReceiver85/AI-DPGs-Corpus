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felix\Documents\TUM\04_Masterarbeit\05_Paper\Attachments\"/>
    </mc:Choice>
  </mc:AlternateContent>
  <xr:revisionPtr revIDLastSave="0" documentId="13_ncr:1_{069AD12F-06ED-450E-82E4-F7E68EAD8FB6}" xr6:coauthVersionLast="36" xr6:coauthVersionMax="36" xr10:uidLastSave="{00000000-0000-0000-0000-000000000000}"/>
  <bookViews>
    <workbookView xWindow="0" yWindow="0" windowWidth="23040" windowHeight="8940" xr2:uid="{D25FAEA2-3B11-45A9-9771-E94D64F43577}"/>
  </bookViews>
  <sheets>
    <sheet name="Overview" sheetId="1" r:id="rId1"/>
    <sheet name="Inclusion criteria" sheetId="4" r:id="rId2"/>
    <sheet name="Privacy documenation" sheetId="10" r:id="rId3"/>
    <sheet name="Privacy documentation QCA" sheetId="17" r:id="rId4"/>
    <sheet name="Readability" sheetId="11" r:id="rId5"/>
    <sheet name="Contradictions" sheetId="15" r:id="rId6"/>
    <sheet name="Datasets" sheetId="21" r:id="rId7"/>
    <sheet name="Dataset QCA" sheetId="18" r:id="rId8"/>
    <sheet name="Platforms" sheetId="20" r:id="rId9"/>
  </sheets>
  <definedNames>
    <definedName name="_xlnm._FilterDatabase" localSheetId="5" hidden="1">Contradictions!$A$2:$G$29</definedName>
    <definedName name="_xlnm._FilterDatabase" localSheetId="7" hidden="1">'Dataset QCA'!$A$2:$M$17</definedName>
    <definedName name="_xlnm._FilterDatabase" localSheetId="6" hidden="1">Datasets!$A$2:$G$17</definedName>
    <definedName name="_xlnm._FilterDatabase" localSheetId="1" hidden="1">'Inclusion criteria'!$A$1:$G$41</definedName>
    <definedName name="_xlnm._FilterDatabase" localSheetId="0" hidden="1">Overview!$A$2:$S$215</definedName>
    <definedName name="_xlnm._FilterDatabase" localSheetId="8" hidden="1">Platforms!$A$2:$D$15</definedName>
    <definedName name="_xlnm._FilterDatabase" localSheetId="2" hidden="1">'Privacy documenation'!$A$2:$K$29</definedName>
    <definedName name="_xlnm._FilterDatabase" localSheetId="3" hidden="1">'Privacy documentation QCA'!$A$2:$R$29</definedName>
    <definedName name="_xlnm._FilterDatabase" localSheetId="4" hidden="1">Readability!$A$2:$N$29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11" l="1"/>
  <c r="F32" i="11"/>
  <c r="F33" i="11"/>
  <c r="F34" i="11"/>
  <c r="G31" i="11"/>
  <c r="H31" i="11"/>
  <c r="I31" i="11"/>
  <c r="G32" i="11"/>
  <c r="H32" i="11"/>
  <c r="I32" i="11"/>
  <c r="G33" i="11"/>
  <c r="H33" i="11"/>
  <c r="I33" i="11"/>
  <c r="G34" i="11"/>
  <c r="H34" i="11"/>
  <c r="I34" i="11"/>
  <c r="E34" i="11"/>
  <c r="E33" i="11"/>
  <c r="E32" i="11"/>
  <c r="E31" i="11"/>
  <c r="F29" i="11"/>
  <c r="F28" i="11"/>
  <c r="F27" i="11"/>
  <c r="F26" i="11"/>
  <c r="F24" i="11"/>
  <c r="F23" i="11"/>
  <c r="F22" i="11"/>
  <c r="F21" i="11"/>
  <c r="F19" i="11"/>
  <c r="F17" i="11"/>
  <c r="F16" i="11"/>
  <c r="F15" i="11"/>
  <c r="F14" i="11"/>
  <c r="F13" i="11"/>
  <c r="F12" i="11"/>
  <c r="F11" i="11"/>
  <c r="F10" i="11"/>
  <c r="F9" i="11"/>
  <c r="F8" i="11"/>
  <c r="F7" i="11"/>
  <c r="F6" i="11"/>
  <c r="F5" i="11"/>
  <c r="F4" i="11"/>
  <c r="F3"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Felix Hartmann</author>
  </authors>
  <commentList>
    <comment ref="C2" authorId="0" shapeId="0" xr:uid="{697EC651-2EEA-45A6-B40A-1096C1A9F3EC}">
      <text>
        <r>
          <rPr>
            <b/>
            <sz val="9"/>
            <color indexed="81"/>
            <rFont val="Segoe UI"/>
            <family val="2"/>
          </rPr>
          <t>Felix Hartmann:</t>
        </r>
        <r>
          <rPr>
            <sz val="9"/>
            <color indexed="81"/>
            <rFont val="Segoe UI"/>
            <family val="2"/>
          </rPr>
          <t xml:space="preserve">
Contributions to github master within last 9 months/Website up and reachable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Felix Hartmann</author>
  </authors>
  <commentList>
    <comment ref="F2" authorId="0" shapeId="0" xr:uid="{16999750-F237-46E9-8C9C-E10CC742F02F}">
      <text>
        <r>
          <rPr>
            <b/>
            <sz val="9"/>
            <color indexed="81"/>
            <rFont val="Segoe UI"/>
            <family val="2"/>
          </rPr>
          <t>Felix Hartmann:</t>
        </r>
        <r>
          <rPr>
            <sz val="9"/>
            <color indexed="81"/>
            <rFont val="Segoe UI"/>
            <family val="2"/>
          </rPr>
          <t xml:space="preserve">
</t>
        </r>
        <r>
          <rPr>
            <sz val="12"/>
            <color indexed="81"/>
            <rFont val="Segoe UI"/>
            <family val="2"/>
          </rPr>
          <t>Platform/system/dataset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Felix Hartmann</author>
  </authors>
  <commentList>
    <comment ref="G2" authorId="0" shapeId="0" xr:uid="{5405C2B4-B6C8-4E47-9219-45810AE7C3EB}">
      <text>
        <r>
          <rPr>
            <b/>
            <sz val="9"/>
            <color indexed="81"/>
            <rFont val="Segoe UI"/>
            <family val="2"/>
          </rPr>
          <t>Felix Hartmann:</t>
        </r>
        <r>
          <rPr>
            <sz val="9"/>
            <color indexed="81"/>
            <rFont val="Segoe UI"/>
            <family val="2"/>
          </rPr>
          <t xml:space="preserve">
Is the provided privacy policy specific for the DPG software or more generic</t>
        </r>
      </text>
    </comment>
    <comment ref="H2" authorId="0" shapeId="0" xr:uid="{89EF99E6-B614-435C-8B6F-07697CEBB47D}">
      <text>
        <r>
          <rPr>
            <b/>
            <sz val="9"/>
            <color indexed="81"/>
            <rFont val="Segoe UI"/>
            <family val="2"/>
          </rPr>
          <t>Out of 6 disclosure dimensions, how many did they disclose?</t>
        </r>
      </text>
    </comment>
    <comment ref="K2" authorId="0" shapeId="0" xr:uid="{800746FF-1E86-4098-A791-34BA6BDF4281}">
      <text>
        <r>
          <rPr>
            <b/>
            <sz val="9"/>
            <color indexed="81"/>
            <rFont val="Segoe UI"/>
            <family val="2"/>
          </rPr>
          <t>Felix Hartmann
Is any PII required?</t>
        </r>
      </text>
    </comment>
    <comment ref="L2" authorId="0" shapeId="0" xr:uid="{66C7EA4B-AAE8-4953-B64A-CCEF2B4705DF}">
      <text>
        <r>
          <rPr>
            <b/>
            <sz val="9"/>
            <color indexed="81"/>
            <rFont val="Segoe UI"/>
            <family val="2"/>
          </rPr>
          <t>Felix Hartmann:</t>
        </r>
        <r>
          <rPr>
            <sz val="9"/>
            <color indexed="81"/>
            <rFont val="Segoe UI"/>
            <family val="2"/>
          </rPr>
          <t xml:space="preserve">
No optional PII: "not applicable"
Optional PII but no mention of mechanisms: not disclosed
DPG may not disclose optionality but still discuss mechanisms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Felix Hartmann</author>
  </authors>
  <commentList>
    <comment ref="G2" authorId="0" shapeId="0" xr:uid="{A9929222-65A7-4868-BD55-80859904F242}">
      <text>
        <r>
          <rPr>
            <b/>
            <sz val="9"/>
            <color indexed="81"/>
            <rFont val="Segoe UI"/>
            <family val="2"/>
          </rPr>
          <t>Felix Hartmann:</t>
        </r>
        <r>
          <rPr>
            <sz val="9"/>
            <color indexed="81"/>
            <rFont val="Segoe UI"/>
            <family val="2"/>
          </rPr>
          <t xml:space="preserve">
Is the provided document specific for the DPG software or more generic</t>
        </r>
      </text>
    </comment>
  </commentList>
</comments>
</file>

<file path=xl/sharedStrings.xml><?xml version="1.0" encoding="utf-8"?>
<sst xmlns="http://schemas.openxmlformats.org/spreadsheetml/2006/main" count="4771" uniqueCount="1403">
  <si>
    <t>DPG Name</t>
  </si>
  <si>
    <t>DPG Type</t>
  </si>
  <si>
    <t>Origin Country</t>
  </si>
  <si>
    <t>Related SDGs (self-reported)</t>
  </si>
  <si>
    <t>Description</t>
  </si>
  <si>
    <t>DPG Category</t>
  </si>
  <si>
    <t>Owner</t>
  </si>
  <si>
    <t>AI Type</t>
  </si>
  <si>
    <t>Source</t>
  </si>
  <si>
    <t>Source type</t>
  </si>
  <si>
    <t>ID</t>
  </si>
  <si>
    <t>Checked</t>
  </si>
  <si>
    <t>Comments</t>
  </si>
  <si>
    <t>Basic Information</t>
  </si>
  <si>
    <t>AI Adoption</t>
  </si>
  <si>
    <t>Link</t>
  </si>
  <si>
    <t>Aam Digital</t>
  </si>
  <si>
    <t>Germany</t>
  </si>
  <si>
    <t>Software</t>
  </si>
  <si>
    <t>Easy-to-use case management software for the social sector that improves the effectiveness and transparency of work with beneficiaries. The offline-first web app is tailored to be used by NGOs anywhere in the world.</t>
  </si>
  <si>
    <t>Accessible Kazakhstan</t>
  </si>
  <si>
    <t>Kazakhstan</t>
  </si>
  <si>
    <t>It is a model of an online map with information on accessibility of public facilities that enables people with limited mobility to navigate the public space.</t>
  </si>
  <si>
    <t>AccessMod</t>
  </si>
  <si>
    <t>Switzerland</t>
  </si>
  <si>
    <t>AccessMod is a free, open-source, standalone software to model physically accessibility to health services, to account for shortage of capacity in these services (human or equipment), to measure referral times and distances between health services, and to increase population coverage through scaling...</t>
  </si>
  <si>
    <t>Advocacy Training for Community Health Workers</t>
  </si>
  <si>
    <t>United States of America</t>
  </si>
  <si>
    <t>Open Content</t>
  </si>
  <si>
    <t>A free digital training that equips Community Health Workers (CHWs) with the skills to effectively share their personal stories and promote the health issues most important to their communities.</t>
  </si>
  <si>
    <t>African Storybook</t>
  </si>
  <si>
    <t>South Africa</t>
  </si>
  <si>
    <t>Provides open access to picture storybooks in the languages of Africa for children's literacy, enjoyment and imagination.</t>
  </si>
  <si>
    <t>AGRIS Open Data Set</t>
  </si>
  <si>
    <t>Italy</t>
  </si>
  <si>
    <t>Open Data</t>
  </si>
  <si>
    <t>The AGRIS Open Data Set is the Open Data serialization of a big subset of the AGRIS database, one of the most comprehensive catalogs of food and agricultural scientific literature providing free access to more than 13,000,000 bibliographic records in more than 100 languages.</t>
  </si>
  <si>
    <t>AgriTech Observatory</t>
  </si>
  <si>
    <t>Hungary</t>
  </si>
  <si>
    <t>The AgriTech Observatory is a virtual knowledge hub established by the FAO Regional Office for Europe and Central Asia, offering practitioners, policymakers, and researchers a comprehensive resource to explore, analyze, and monitor digital agriculture initiatives across regions.</t>
  </si>
  <si>
    <t>Agrontology</t>
  </si>
  <si>
    <t>Agrontology is a description vocabulary defined in the Web Ontology Language (OWL) providing a set of domain-specific properties for agri-food concepts. It is used for instance in the AGROVOC thesaurus to express domain-specific relations between concepts.</t>
  </si>
  <si>
    <t>AGROVOC Multilingual Thesaurus</t>
  </si>
  <si>
    <t>AGROVOC is a thesaurus of 41,000+ agricultural concepts and relationships in up to 42 languages, available for public use to facilitate access and interoperability of data across institutions and languages. It is maintained by several institutions coordinated by FAO.</t>
  </si>
  <si>
    <t>Aid Management Platform</t>
  </si>
  <si>
    <t>AMP helps governments and development partners gather, access, and monitor information on development activities, with the goal of increasing aid effectiveness.</t>
  </si>
  <si>
    <t>Altinn</t>
  </si>
  <si>
    <t>Norway</t>
  </si>
  <si>
    <t>Altinn is a platform for digital dialogue between businesses, private individuals and public agencies. Altinn is also a platform that government bodies can use to develop and host digital services.</t>
  </si>
  <si>
    <t>Android FHIR SDK</t>
  </si>
  <si>
    <t>The Android FHIR SDK is a set of Kotlin libraries for building offline-capable, mobile-first healthcare applications using the HL7® FHIR® standard on Android.</t>
  </si>
  <si>
    <t>Apache Fineract</t>
  </si>
  <si>
    <t>Fineract provides a reliable, robust, and affordable solution for entrepreneurs, financial institutions, and service providers to offer financial services to the world's 3 billion underbanked and unbanked.</t>
  </si>
  <si>
    <t>Avni</t>
  </si>
  <si>
    <t>India</t>
  </si>
  <si>
    <t>Community service and data collection platform on any domain - Health, Education, Sanitation, Water, Waste, Agriculture, Social Security</t>
  </si>
  <si>
    <t>Bahmni</t>
  </si>
  <si>
    <t>Open Source Comprehensive Electronic Medical Record and Information Management System built on top of OpenMRS, OpenELIS, Dcm4chee and Odoo for clinics and hospitals, designed for low resource environments.</t>
  </si>
  <si>
    <t>Bebbo Parenting App</t>
  </si>
  <si>
    <t>Serbia</t>
  </si>
  <si>
    <t>Bebbo is an open-source mobile parenting app that empowers parents of 0-6 year-olds with interactive tools to track child development, provides evidence-based insights, stimulating learning activities, and self-care guidance.</t>
  </si>
  <si>
    <t>Bisa Health</t>
  </si>
  <si>
    <t>Ghana</t>
  </si>
  <si>
    <t>Bisa is a health application that allows the public to receive health information and communicate with doctors.</t>
  </si>
  <si>
    <t>Boxtribute</t>
  </si>
  <si>
    <t>Netherlands</t>
  </si>
  <si>
    <t>An open-source digital system making it easy to rapidly and collaboratively source, store &amp; distribute humanitarian aid to people in need in a fair and dignified way.</t>
  </si>
  <si>
    <t>caMicroscope</t>
  </si>
  <si>
    <t>An Open-Source Platform for Biomedical Image and Data Analysis</t>
  </si>
  <si>
    <t>Care | Open Healthcare Network</t>
  </si>
  <si>
    <t>CARE is a transformative healthcare management system, centralizing patient and capacity management across hospitals. Empowering administrators and healthcare professionals with real-time data for better decision-making, CARE is reshaping healthcare delivery.</t>
  </si>
  <si>
    <t>Cboard</t>
  </si>
  <si>
    <t>Argentina</t>
  </si>
  <si>
    <t>Cboard is an Augmentative and Alternative Communication (AAC) web app for children and adults with speech and language impairments, aiding communication with symbols and text-to-speech.</t>
  </si>
  <si>
    <t>cfr</t>
  </si>
  <si>
    <t>United Kingdom</t>
  </si>
  <si>
    <t>R package to estimate disease severity and under-reporting in real-time, accounting for reporting delays in epidemic time-series</t>
  </si>
  <si>
    <t>Chamilo</t>
  </si>
  <si>
    <t>Belgium</t>
  </si>
  <si>
    <t>Chamilo is an Open Source Learning Management System that vows to help increase the availability of quality education around the world. Its main focus is to be easy to use, as we believe this solves the most complicated part of providing education through a computers.</t>
  </si>
  <si>
    <t>Cider</t>
  </si>
  <si>
    <t>Cider is a set of software tools for estimating the poverty status of individuals and households using mobile phone data, for use in the targeting and delivery of humanitarian aid.</t>
  </si>
  <si>
    <t>CIEL terminology</t>
  </si>
  <si>
    <t>CIEL terminology is an open source clinical interface terminology mapped to multiple standard code systems such as ICD, SNOMED CT, LOINC, RxNORM that ensures health information systems can collect, normalize and analyze/report high quality health information.</t>
  </si>
  <si>
    <t>CityLearn</t>
  </si>
  <si>
    <t>AI System</t>
  </si>
  <si>
    <t>CKAN</t>
  </si>
  <si>
    <t>CKAN is an Open Source Data Management System to build Data Portals. Trusted by hundreds of portals across the world and supported by an active community, it focuses on extensibility and integration with other tools.</t>
  </si>
  <si>
    <t>Code Your Future</t>
  </si>
  <si>
    <t>A free collaboratively developed open source software development programme, with tracks in product, web development, and systems engineering</t>
  </si>
  <si>
    <t>CodiTeach</t>
  </si>
  <si>
    <t>CodiTeach is an innovative web platform for teachers that streamlines account management for schools, classes, and students. Platform provides a royalty-free alternative to costly educational platforms for underfunded schools in impoverished developing countries.</t>
  </si>
  <si>
    <t>CommCare</t>
  </si>
  <si>
    <t>CommCare is the digital platform for impactful frontline work everywhere. The most widely-deployed and evidence-based platform for enabling Frontline Workers, CommCare empowers organizations to build their own digital solutions to better deliver services and collect data.</t>
  </si>
  <si>
    <t>Community Health Toolkit</t>
  </si>
  <si>
    <t>Kenya</t>
  </si>
  <si>
    <t>The CHT is a license-free, open-source digital health platform that includes a collection of software frameworks and applications, open-access resources, and a dynamic community of practice to help partners design, own, and scale electronic community health information systems.</t>
  </si>
  <si>
    <t>Connect For Life</t>
  </si>
  <si>
    <t>Connect for Life is a communication platform built on OpenMRS. The platform engages with patients remotely and provides continuity of care with proven implementation feasibility in HIV, TB, and COVID-19 case surveillance and vaccination programs.</t>
  </si>
  <si>
    <t>Consul Democracy</t>
  </si>
  <si>
    <t>Spain</t>
  </si>
  <si>
    <t>Consul Democracy is a complete citizen participation tool for an open, transparent, and democratic government. This tool is free, secure, open-source, and easy to use, reflecting public values at its core so that all governments can take the first steps toward digital citizen participation.</t>
  </si>
  <si>
    <t>Convexity Humanitarian Aid Transfer Solution (CHATS)</t>
  </si>
  <si>
    <t>Nigeria</t>
  </si>
  <si>
    <t>CHATS is geared towards aiding the transparent distribution of conditional and unconditional cash voucher assistance to vulnerable beneficiaries. The platform aims to fight against fraudulent practices and give the donors visibility and certainty of funds reaching the desired ta.</t>
  </si>
  <si>
    <t>cQube</t>
  </si>
  <si>
    <t>cQube is an open-source platform for data-based insights. It allows for aggregated data to be visualized in a simple fashion, leading to insights and action. It provides flexibility and ease of use in creating dashboards, enabling business user to derive insights.</t>
  </si>
  <si>
    <t>Creative Commons Legal Tools</t>
  </si>
  <si>
    <t>CC legal tools enable the sharing and use of DPGs via standard, international open copyright licenses. CC stewards its open licenses and public domain tools to give every person and organization in the world a free, simple way to share their work in the commons.</t>
  </si>
  <si>
    <t>CREDEBL</t>
  </si>
  <si>
    <t>The CREDEBL platform helps Governments and private entities implement a digital, foundational identity issuance and verification solution in a cost effective way by leveraging W3C Standards.</t>
  </si>
  <si>
    <t>Crosscut</t>
  </si>
  <si>
    <t>The Crosscut App lets users access open data including catchment area maps, microplan tables that estimate population, and supply plan tables that can be used to plan Global Health campaigns.</t>
  </si>
  <si>
    <t>Dalgo</t>
  </si>
  <si>
    <t>Dalgo is an open-source data platform for the social sector which enables organisations to learn from and represent their impact effectively by automating data flow and data management processes.</t>
  </si>
  <si>
    <t>Data Observation Toolkit</t>
  </si>
  <si>
    <t>DOT is a toolkit that can be used to monitor data as it's collected and enters a database to flag problems with data integrity, data quality, protocols, outliers and other scenarios that might need attention</t>
  </si>
  <si>
    <t>Data to Policy Navigator</t>
  </si>
  <si>
    <t>The Data to Policy Navigator is designed to assist government executives and policymakers in grasping the fundamentals of data-driven decision-making. It provides a step-by-step guide and a range of practical examples from across the globe on how to integrate data into policy.</t>
  </si>
  <si>
    <t>Database of Greek and Latin Conjectural Emendations Attested in MSS</t>
  </si>
  <si>
    <t>An open-source, collaborative database of all the known, independent conjectural emendations for Ancient Greek and Latin texts that were subsequently also discovered in a manuscript.</t>
  </si>
  <si>
    <t>Decidim</t>
  </si>
  <si>
    <t>Decidim is a digital platform for citizen participation</t>
  </si>
  <si>
    <t>Deon</t>
  </si>
  <si>
    <t>Deon is a command line tool that allows you to easily add an ethics checklist to your data science projects. We support creating a new, standalone checklist file or appending a checklist to an existing analysis in many common formats.</t>
  </si>
  <si>
    <t>DEXA Protocol</t>
  </si>
  <si>
    <t>Sweden</t>
  </si>
  <si>
    <t>DEXA protocol is key for developing and deploying trustworthy, human-centric decentralised data applications (dApps) across domains using data intermediation services within dataspaces.</t>
  </si>
  <si>
    <t>DHIS2</t>
  </si>
  <si>
    <t>DHIS2 is a free, open-source, fully customizable platform for collecting, analyzing, visualizing, and sharing aggregate and individual-data for district-level, national, regional, and international system and program management in health, education, and other domains.</t>
  </si>
  <si>
    <t>DiCRA</t>
  </si>
  <si>
    <t>Data in Climate Resilient Agriculture (DiCRA) is a collaborative geospatial platform which provides open access to key geospatial datasets pertinent to climate resilient agriculture. These datasets are curated and validated through collaborative efforts of a large community of data scientists and ci...</t>
  </si>
  <si>
    <t>DIGIT</t>
  </si>
  <si>
    <t>DIGIT is an open-source, configurable, extendable, modular, digital infrastructure that enables local governments to deliver municipal services to citizens in an efficient, inclusive, and transparent manner.</t>
  </si>
  <si>
    <t>Digital Impact Exchange</t>
  </si>
  <si>
    <t>This is an interactive, multitenant online platform designed to simplify the discovery and evaluation of digital options. It serves as a comprehensive resource for people working to tracking their digital footprint by providing a catalog, a marketplace, and a resource library.</t>
  </si>
  <si>
    <t>DKAN</t>
  </si>
  <si>
    <t>DKAN is a powerful, community-driven open data platform. As a Drupal module, DKAN leverages Drupal's robust features to create modern, standards-focused, and API-first open data catalogs for a variety of specific use cases.</t>
  </si>
  <si>
    <t>Doptor Open Data</t>
  </si>
  <si>
    <t>Bangladesh</t>
  </si>
  <si>
    <t>Doptor Open Data aims to bring all the eServices owned by the Government of Bangladesh in a single platform. Doptor Open Data works as a middleware to serve all the government officials and offices with authentication and the most secure way. The concept of one id for one government office &amp; officia...</t>
  </si>
  <si>
    <t>Drupal</t>
  </si>
  <si>
    <t>Drupal is an open source content management system powering ambitious digital experiences across government, higher-ed, non-profit, and other sectors for more than 20 years.</t>
  </si>
  <si>
    <t>E-Heza</t>
  </si>
  <si>
    <t>E-Heza Data Solutions is a digital health platform designed by and for frontline health workers that serves the entire primary care ecosystem of health centers and CHWs in East Africa.</t>
  </si>
  <si>
    <t>Eco-Index Biodiversity Dashboards</t>
  </si>
  <si>
    <t>New Zealand</t>
  </si>
  <si>
    <t>Digital dashboards and related tools help users to monitor and set goals around biodiversity levels.</t>
  </si>
  <si>
    <t>ekShop Marketplace</t>
  </si>
  <si>
    <t>ekShop marketplace is a robust and adaptable eCommerce platform that is free and open-source. It is designed to cater to the needs of any potential entrepreneur who wants to set up an online store quickly and efficiently. With its customizable and configurable features, ekShop can be tailored to sui...</t>
  </si>
  <si>
    <t>Energy Access Explorer</t>
  </si>
  <si>
    <t>The first, open-source, online and interactive geospatial platform that enables energy planners, clean energy entrepreneurs, donors, and development institutions to identify high-priority areas for energy access interventions. EAE functions also as a dynamic information system, reducing software eng...</t>
  </si>
  <si>
    <t>epiCo</t>
  </si>
  <si>
    <t>R package for statistical and spatiotemporal modeling of epidemiological data for vector-borne diseases</t>
  </si>
  <si>
    <t>Ersilia Model Hub</t>
  </si>
  <si>
    <t>The Ersilia Model Hub is the only open-source platform serving ready-to-use AI models to accelerate the discovery of new treatments for infectious diseases which affect predominantly the Global South.</t>
  </si>
  <si>
    <t>Everwell Hub</t>
  </si>
  <si>
    <t>The Everwell Hub is a best in-class patient management platform designed for high-burden public healthcare programs globally. The Everwell Hub supports the entire digital cascade of care from diagnosis through treatment support and completion, including fully integrated modules for diagnostics (bot...</t>
  </si>
  <si>
    <t>FAO Agricultural Stress Index System</t>
  </si>
  <si>
    <t>The Agricultural Stress Index System (ASIS) monitors agricultural areas with a high likelihood of water stress/drought at global, regional and country level, using satellite technology.</t>
  </si>
  <si>
    <t>FAO Digital Services Portfolio</t>
  </si>
  <si>
    <t>FAO Digital Services Portfolio offers access to useful data, information, maps, and statistics on food and agriculture to achieve food security. AgriMarketplace - gives farmers the opportunity to know the approximate prices of each product in the surrounding markets, as well as the routes to reach...</t>
  </si>
  <si>
    <t>FAO Global Administrative Unit Layers</t>
  </si>
  <si>
    <t>GAUL 2024 compiles the most recent information on sub-national administrative boundaries worldwide. It is a critical dataset to facilitate data integration and analysis, enabling the visualization of statistics, monitoring trends and informed policy development at various levels.</t>
  </si>
  <si>
    <t>FAOLEX</t>
  </si>
  <si>
    <t>FAOLEX is a comprehensive and up-to-date legislative and policy database of national and regional laws, regulations and policies on food, agriculture and natural resources management.</t>
  </si>
  <si>
    <t>farmOS</t>
  </si>
  <si>
    <t>farmOS is a web-based application for farm management, planning, and record keeping.</t>
  </si>
  <si>
    <t>FarmStack</t>
  </si>
  <si>
    <t>Open source product suite which enables the secure transfer of data across the agricultural ecosystem</t>
  </si>
  <si>
    <t>Fedora Linux</t>
  </si>
  <si>
    <t>A complete free and open source operating system for laptops, desktops, servers, devices, clouds, and containers</t>
  </si>
  <si>
    <t>Feluda</t>
  </si>
  <si>
    <t>Feluda is a configurable engine for analysing multi-lingual and multi-modal content. While flexible, it is built it to analyse data collected from social media - images,text and video. It is configurable to allow for different use cases such as finding trends and narratives in social media across la...</t>
  </si>
  <si>
    <t>finalsize</t>
  </si>
  <si>
    <t>finalsize is an R package that provides estimates for the total proportion of a population infected over the course of an epidemic, and can account for a demographic distribution, demography-specific contact patterns,and heterogeneous susceptibility to infection between groups.</t>
  </si>
  <si>
    <t>Food Fortification Quality Management System</t>
  </si>
  <si>
    <t>FFQMS is an end-to-end digital solution that ensures quality assurance (QA), quality control (QC), and traceability starting from the procurement of raw material followed by manufacturing of fortified commodities and its storage as well as further distribution across geographies.</t>
  </si>
  <si>
    <t>Food Price Monitoring and Analysis Tool</t>
  </si>
  <si>
    <t>The FPMA is a web-based platform developed to facilitate the monitoring, analysis, and dissemination of food price data. As of December 2024, the database includes over 2700 monthly domestic price series covering 130 countries and 87 international price series.</t>
  </si>
  <si>
    <t>FormSG</t>
  </si>
  <si>
    <t>Singapore</t>
  </si>
  <si>
    <t>FormSG is a form builder tool that enables public officers to instantly create customisable forms with zero code or cost, to safely collect classified and sensitive data.</t>
  </si>
  <si>
    <t>FUSS - Free Upgrade for a digitally Sustainable School</t>
  </si>
  <si>
    <t>FUSS is a complete GNU/Linux solution based on Debian and around 200 educational software packages for schools. It is a project that allows students and teachers to use at home the same tools installed at school, freely and without any cost to families.</t>
  </si>
  <si>
    <t>GeoPrism Registry</t>
  </si>
  <si>
    <t>GeoPrism Registry allows for the simultaneous hosting, management, regular update, and sharing of master lists, associated hierarchies, and geospatial data for the geographic objects core to sustainable development including public health, education, agriculture, infrastructure, and other public and...</t>
  </si>
  <si>
    <t>Glific</t>
  </si>
  <si>
    <t>ENABLING IMPACT AT SCALE - Our WhatsApp chatbot enables you to reach the right person at the right time with the right information.</t>
  </si>
  <si>
    <t>Global Healthsites Mapping Project</t>
  </si>
  <si>
    <t>healthsites.io is building a baseline of health facility data by making OpenStreetMap useful to the medical community and humanitarian sector.</t>
  </si>
  <si>
    <t>Global Human Settlement Layer</t>
  </si>
  <si>
    <t>GHSL provides analysis ready, global, geospatial data reporting about the presence of population and human settlements.</t>
  </si>
  <si>
    <t>Global Open Facility Registry</t>
  </si>
  <si>
    <t>GOFR is an open source federated facility registry platform for reconciling multiple facility lists and managing a primary list</t>
  </si>
  <si>
    <t>GlobaLeaks</t>
  </si>
  <si>
    <t>GlobaLeaks is free, open source software enabling anyone to easily set up and maintain a secure whistleblowing platform</t>
  </si>
  <si>
    <t>GNU Health</t>
  </si>
  <si>
    <t>GNU Health is a free/libre ecosystem for Health practitioners, Hospitals and nationwide Health systems. The GNU Health project provides the tools for individuals, health professionals, institutions and governments to proactively assess and improve the underlying determinants of health, from the soci...</t>
  </si>
  <si>
    <t>Go.Data</t>
  </si>
  <si>
    <t>Go.Data is an open-source platform for outbreak response and contact tracing developed by WHO in collaboration with GOARN partners. It streamlines all aspects of outbreak response and is highly versatile with customizable configurations for different scenarios.</t>
  </si>
  <si>
    <t>Govdirectory</t>
  </si>
  <si>
    <t>A crowdsourced and fact-checked directory of official governmental online accounts and services. The easiest way to contact your government.</t>
  </si>
  <si>
    <t>Grievance Redress System (GRS)</t>
  </si>
  <si>
    <t>Grievance Redress System (GRS) is recognized worldwide as one of the enabling factors for organizations to be efficient, effective, and people-oriented. A functional platform for receiving people's complaints or grievances facilitates administrators to improve their service delivery systems, thereby...</t>
  </si>
  <si>
    <t>Hand-in-Hand Geospatial Platform</t>
  </si>
  <si>
    <t>The Platform is a supporting tool for the Hand-in-Hand (HiH) Initiative to accelerate the SDGs, using advanced geo-spatial modeling and analytics to identify the biggest opportunities to raise the incomes and reduce the inequities and vulnerabilities of rural populations.</t>
  </si>
  <si>
    <t>Harmony</t>
  </si>
  <si>
    <t>Harmony is an open-source, end-to end data integration and advanced analytics platform for integrating, harmonizing, analyzing, and visualizing any number of structured data sources from different sectors (e.g. health, education, agriculture, sustainable development, climate change adaptation), rang...</t>
  </si>
  <si>
    <t>HCW@Home</t>
  </si>
  <si>
    <t>HCW@Home is a scalable, institution-level secure teleconsultation system for typical telemedicine scenarios, achieved through close collaboration with healthcare professionals. It is fully open-source and offers integrated features for chat, audio, and video calls using WebRTC.</t>
  </si>
  <si>
    <t>Health Claims Data Exchange</t>
  </si>
  <si>
    <t>The HCX Platform by Swasth Alliance enables seamless health claims data exchange with tools like SDKs, management apps, and an exchange switch---boosting collaboration and interoperability across the health ecosystem.</t>
  </si>
  <si>
    <t>HIV Support web application</t>
  </si>
  <si>
    <t>Romania</t>
  </si>
  <si>
    <t>HIV Support is a case manager dedicated to support CSOs who receive help requests from refugees with HIV who seek help to continue treatment and to access other services relevant for their condition.</t>
  </si>
  <si>
    <t>HOPE</t>
  </si>
  <si>
    <t>HOPE is UNICEF's humanitarian cash transfer management information system. HOPE allows to register and target beneficaries, track approval of payment list send them to payment providers, process reconciliation and payment verification and facilitate grievances and feedbacks.</t>
  </si>
  <si>
    <t>HOT Tasking Manager</t>
  </si>
  <si>
    <t>The HOT Tasking Manager is a specialized platform developed by the Humanitarian OpenStreetMap Team (HOT) for coordinating volunteers and facilitating collaborative mapping efforts to support disaster response, humanitarian aid, and development projects worldwide.</t>
  </si>
  <si>
    <t>IASO</t>
  </si>
  <si>
    <t>IASO is an innovative, open-source, bilingual (EN/FR) data collection platform with advanced geospatial features to plan, monitor and evaluate health, environmental or social programmes. Main features: geo-enabled data collection, georegistry, microplanning, entities &amp; workflows.</t>
  </si>
  <si>
    <t>if me</t>
  </si>
  <si>
    <t>Free, open source mental health communication web app to share experiences with loved ones</t>
  </si>
  <si>
    <t>iHRIS</t>
  </si>
  <si>
    <t>iHRIS is a free and open-source software solution that has been used in over 30 countries to more easily collect, maintain, and analyze health workforce data and manage health workforce resources at a ministry of health (MOH), district health offices, and health care facilities. iHRIS helps countrie...</t>
  </si>
  <si>
    <t>Immunization Calculation Engine</t>
  </si>
  <si>
    <t>ICE is an open source immunization evaluation and forecasting clinical decision support system</t>
  </si>
  <si>
    <t>Indonesian Phoneme Recognizer</t>
  </si>
  <si>
    <t>Indonesia</t>
  </si>
  <si>
    <t>Indonesian speech/phoneme recognizer powered by Kaldi 2.0 (lhotse, icefall, sherpa).</t>
  </si>
  <si>
    <t>Interfacer</t>
  </si>
  <si>
    <t>Innovative federated open source platform that provides a digital product passport. With a focus to find and share open source hardware projects, collaborate with others, and discover new products and services. Import your projects to allow access to the community and grow your reputation.</t>
  </si>
  <si>
    <t>Isomer</t>
  </si>
  <si>
    <t>Isomer is a website builder that allows government agencies to launch static websites easily and for free. It aims to empower the government to easily and effectively communicate with citizens while enabling citizens to easily find the information they are looking for.</t>
  </si>
  <si>
    <t>iVerify</t>
  </si>
  <si>
    <t>AI-powered information platform to combat misinformation and hate speech.</t>
  </si>
  <si>
    <t>IVTToken</t>
  </si>
  <si>
    <t>Brazil</t>
  </si>
  <si>
    <t>This initiative connects under connected schools to the internet through a blockchain model, rewarding ISPs and sponsors with connectivity tokens. Supported by UNICEF, it focuses on usability and scalability to enhance global educational access.</t>
  </si>
  <si>
    <t>Janssen Project</t>
  </si>
  <si>
    <t>A low-code digital identity platform for workforce, consumer and citizen identity based on open standards like OAuth, OpenID, FIDO and SCIM.</t>
  </si>
  <si>
    <t>Jellow AAC Communicator</t>
  </si>
  <si>
    <t>Jellow Basic Communicator is a freely downloadable friendly Augmentative and Alternative Communication (AAC) system that uses icons/images to enable aid communication in people learning to speak or with difficulty with speech and language.</t>
  </si>
  <si>
    <t>JemPI</t>
  </si>
  <si>
    <t>JeMPI is an entity matching (commonly used for patient matching) and linking technology that supports batch and transactional matching via advanced techniques though a combination of deterministic and probabilistic matching.</t>
  </si>
  <si>
    <t>Kindly</t>
  </si>
  <si>
    <t>Kindly is -- an open-source API that detects abusive and cyberbullying intent in messages and provides instant feedback for users to reconsider their message.</t>
  </si>
  <si>
    <t>KoboToolbox</t>
  </si>
  <si>
    <t>Canada</t>
  </si>
  <si>
    <t>KoboToolbox is an open source platform for the collection, management, and visualization of data. As the most widely used primary data collection tool in the nonprofit sector, it is the tool of choice for over 16,000 social impact organizations worldwide.</t>
  </si>
  <si>
    <t>Kolibri</t>
  </si>
  <si>
    <t>The offline-first platform for teaching and learning with technology without requiring the Internet.</t>
  </si>
  <si>
    <t>La Suite Docs</t>
  </si>
  <si>
    <t>France</t>
  </si>
  <si>
    <t>Docs is a collaborative text editor designed to address common challenges in knowledge building and sharing.</t>
  </si>
  <si>
    <t>LEI</t>
  </si>
  <si>
    <t>LEI (Legal Entity Identifier) is a unique identifier for legal entities, enhancing trust and transparency across industries through global regulator recognition. vLEI is a platform agnostic, digitally verifiable identifier, offering temper-resistant entity identification through verifiable credentia...</t>
  </si>
  <si>
    <t>Lexsitus</t>
  </si>
  <si>
    <t>Lexsitus is the most comprehensive online legal-information platform for international criminal law, supporting retrieval, analysis and learning work-processes.</t>
  </si>
  <si>
    <t>LibreOffice</t>
  </si>
  <si>
    <t>LibreOffice is a free open source office suite available in 120 language versions, which can be used by billions of people using their native language (instead of learning a foreign language to access the user interface)</t>
  </si>
  <si>
    <t>LibreSign</t>
  </si>
  <si>
    <t>LibreSign is an open-source digital and electronic signature platform that ensures secure, legally compliant document signing, tailored for businesses and institutions with full control over their data.</t>
  </si>
  <si>
    <t>linelist</t>
  </si>
  <si>
    <t>An R package for handling case line list data</t>
  </si>
  <si>
    <t>magasin</t>
  </si>
  <si>
    <t>Magasin is a cloud native open-source end-to-end data platform. Magasin enables organizations to perform automatic data ingestion, storage, analysis, ML/AI compute and visualization at scale.</t>
  </si>
  <si>
    <t>Marine Spatial Planning - SAHAV</t>
  </si>
  <si>
    <t>MSP-SAHAV is an open software used for planning sea spaces that can help visualize and communicate complex spatial information, supporting informed decision-making and the process of organizing and managing human activities in marine areas across space and time.</t>
  </si>
  <si>
    <t>Mastodon</t>
  </si>
  <si>
    <t>Mastodon is a free and open-source software platform for decentralized social networking.</t>
  </si>
  <si>
    <t>Mautic</t>
  </si>
  <si>
    <t>Mautic is the world's first open source marketing automation platform.</t>
  </si>
  <si>
    <t>Measuring Real Power Usage of Software Applications</t>
  </si>
  <si>
    <t>This initiative, a system and method for measuring the real power draw and carbon emissions of software applications, allows businesses and consumers to accurately assess emissions at an individual software level providing a greater level of granularity in reporting.</t>
  </si>
  <si>
    <t>MEDPlat</t>
  </si>
  <si>
    <t>MEDPlat is an mobile first, offline enabled, scalable, low-code CPHC platform for public healthcare. It is extensible &amp; customizable and has tools to supports the monitoring and improvement of SDG3 goals though interfaces right for the community health workers onwards to the policy makers. It Includ...</t>
  </si>
  <si>
    <t>MET Norway Weather API</t>
  </si>
  <si>
    <t>Free digital access to high-quality, reliable and user-friendly 10-day weather forecast data for any geolocation in the world. Provides an open interface to a world weather data produced by MET Norway.</t>
  </si>
  <si>
    <t>Mifos Payment Hub-EE (PH-EE)</t>
  </si>
  <si>
    <t>Modern orchestation engine for digital &amp; real-time Payments enabling DFSPs to connect to and participate in instant inclusive payment systems and for governments to disburse payments in bulk to functional wallet accounts.</t>
  </si>
  <si>
    <t>Mifos X</t>
  </si>
  <si>
    <t>The Mifos X DPG suite includes a core banking platform, payment orchestration engine, and mobile banking interfaces to enable the effective delivery of digital financial services such as savings and credit-led financial inclusion, G2P payments, integration into IIPS and more.</t>
  </si>
  <si>
    <t>Mojaloop</t>
  </si>
  <si>
    <t>Open source software for creating payment platforms that will help unbanked people access digital financial services.</t>
  </si>
  <si>
    <t>MOSIP</t>
  </si>
  <si>
    <t>The Modular Open Source Identity Platform (MOSIP) helps Governments and other user organizations implement a digital, foundational identity system in a cost effective way.</t>
  </si>
  <si>
    <t>Mozilla Common Voice dataset</t>
  </si>
  <si>
    <t>A multilingual open voice dataset created by Mozilla Common Voice, an initiative to help teach machines how real people speak</t>
  </si>
  <si>
    <t>National Carbon Credit Registry</t>
  </si>
  <si>
    <t>The National Carbon Credit Registry is an open-source toolkit that helps countries securely issue, monitor, and trade carbon credits, ensuring data integrity.</t>
  </si>
  <si>
    <t>NiSE3 Skills and Certification</t>
  </si>
  <si>
    <t>The Skills And Certification platform is a virtual management environment designed to cater to the needs of both students and trainers. It seamlessly complements interactive physical learning at educational institutions, enhancing the overall learning experience. This comprehensive solution offers a...</t>
  </si>
  <si>
    <t>NotesMaster</t>
  </si>
  <si>
    <t>NoteMaster provides training and support to use the NotesMaster elearning platform, which is preconfigured with local curricula, so the trained teachers can create digital lessons online in Notesmaster, for students to then access. The lessons can be accessed and remixed by teachers from any other c...</t>
  </si>
  <si>
    <t>ODK</t>
  </si>
  <si>
    <t>ODK lets you build powerful forms to collect the data you need wherever it is. Join the leading researchers, field teams, and other professionals using ODK to collect data that matters.</t>
  </si>
  <si>
    <t>Oky</t>
  </si>
  <si>
    <t>Oky is the world's first mobile phone period tracker app designed for and with adolescent girls.</t>
  </si>
  <si>
    <t>One Roof</t>
  </si>
  <si>
    <t>One roof is a housing application that can be used to support refugees or displaced populations in case of an emergency situation such as earthquakes or other natural disasters. The platform allows for host registration, host validation, request intake, housing allocation and management of availabil...</t>
  </si>
  <si>
    <t>Oobee</t>
  </si>
  <si>
    <t>Oobee (formerly known as Purple A11y) is a customisable, automated accessibility testing tool that allows software development teams to find and fix accessibility problems, to improve access to digital services for the elderly and Persons with Disabilities (PWDs).</t>
  </si>
  <si>
    <t>Open Concept Lab</t>
  </si>
  <si>
    <t>OCL is an open-source, FHIR-enabled terminology management system for the global community</t>
  </si>
  <si>
    <t>Open Contracting Portal</t>
  </si>
  <si>
    <t>The Open Contracting Portal (OC Portal) is an open-source platform built to organize and archive procurement documents, improve data transparency and feedback by the public, and help publish procurement information in the Open Contracting Data Standard (OCDS)</t>
  </si>
  <si>
    <t>Open Food Facts</t>
  </si>
  <si>
    <t>Open Food Facts is a collaborative, open database of 3M food products from 180 countries. It provides data on ingredients, nutrition, and environmental impact, empowering consumers, producers, researchers, and governments to make informed decisions for healthier and sustainable food.</t>
  </si>
  <si>
    <t>Open Health Stack</t>
  </si>
  <si>
    <t>Open Health Stack provides building blocks for creating next-gen digital health apps. These open source components save time and make it easier to adopt modern healthcare standards, leading to secure, offline-capable, data-driven solutions for healthcare workers in low-resource settings.</t>
  </si>
  <si>
    <t>Open Supply Hub</t>
  </si>
  <si>
    <t>Open Supply Hub is a non-profit powering the transition to safe and sustainable production with the world's most complete, open and accessible global supply chain map.</t>
  </si>
  <si>
    <t>Open Sustainable Technology</t>
  </si>
  <si>
    <t>A directory and analysis of the open source ecosystem in the areas of climate change, sustainable energy, biodiversity and natural resources.</t>
  </si>
  <si>
    <t>Open Terms Archive</t>
  </si>
  <si>
    <t>Open Terms Archive publicly records every version of the terms of digital services to enable democratic oversight.</t>
  </si>
  <si>
    <t>Open-Pryv.io</t>
  </si>
  <si>
    <t>Personal Data &amp; Privacy Management Software A ready-to-use solution for personal data and consent management. Pryv.io is a solid foundation on which you build your own digital health solution, so you can collect, store, share and rightfully use personal data.</t>
  </si>
  <si>
    <t>OpenClinic GA</t>
  </si>
  <si>
    <t>OpenClinic GA is an open source integrated hospital information management system covering management of administrative, financial, clinical, lab, x-ray, pharmacy, meals distribution and other data. Extensive statistical and reporting capabilities.</t>
  </si>
  <si>
    <t>OpenCRVS</t>
  </si>
  <si>
    <t>OpenCRVS is a user-friendly, open-source platform designed to make civil registration accessible and effective for everyone. It supports the complete process of registering vital events, such as births and deaths, while ensuring offline functionality for remote areas, robust data security, and adher...</t>
  </si>
  <si>
    <t>OpenELIS Global</t>
  </si>
  <si>
    <t>OpenELIS Global is open enterprise-level laboratory information system software tailored for public health laboratories. OpenELIS is used at a national scale in a variety of settings, from small general hospital labs, all the way up to national reference labs, and all sizes in between.</t>
  </si>
  <si>
    <t>OpenEWS</t>
  </si>
  <si>
    <t>Cambodia</t>
  </si>
  <si>
    <t>OpenEWS is the world's first open source early warning system dissemination platform.</t>
  </si>
  <si>
    <t>OpenEyes</t>
  </si>
  <si>
    <t>OpenEyes is the leading open source electronic patient record (EPR) for ophthalmology. It has been designed by clinicians to be fast in delivering content, fast to navigate and easy (and fun) to use.</t>
  </si>
  <si>
    <t>OpenFisca</t>
  </si>
  <si>
    <t>OpenFisca is a Rules as Code engine: it enables collaboratively making laws and regulations computable over APIs for developers, datascientists and researchers. This allows building software to help citizens and businesses understand how laws apply to them, designing better rules and public policies...</t>
  </si>
  <si>
    <t>OpenFn</t>
  </si>
  <si>
    <t>OpenFn is a workflow automation platform that's used to automate &amp; integrate critical business processes and systems. From last-mile services to national-level reporting, it boosts efficiency &amp; effectiveness while enabling secure, stable, scalable interoperability at all levels.</t>
  </si>
  <si>
    <t>OpenG2P</t>
  </si>
  <si>
    <t>OpenG2P is an open-source platform that enables governments and humanitarian organizations to deliver critical social benefits directly to those who need them. It facilitates the building of secure, inclusive registries and digital cash transfer systems for social protection.</t>
  </si>
  <si>
    <t>OpenHexa</t>
  </si>
  <si>
    <t>An open-source data integration platform for public health projects.</t>
  </si>
  <si>
    <t>openIMIS</t>
  </si>
  <si>
    <t>openIMIS is a versatile open source software which supports the administration of health financing and social protection schemes. It is specially designed to manage the complex, high-volume data flows which are required to operate such schemes by seamlessly integrating beneficiary, provider and paye...</t>
  </si>
  <si>
    <t>OpenMandriva Lx</t>
  </si>
  <si>
    <t>A user-friendly, free, fully open and spyware free, operating system focusing on desktop/laptop computers.</t>
  </si>
  <si>
    <t>OpenMRS</t>
  </si>
  <si>
    <t>OpenMRS is a collaborative open-source project to develop software to support the delivery of health care in developing countries. OpenMRS is founded on the principles of openness and sharing of ideas, software and strategies for deployment and use.</t>
  </si>
  <si>
    <t>OpenRIMS</t>
  </si>
  <si>
    <t>OpenRIMS is a web-based tool that helps NMRAs streamline and track medicines registration to ensure that they have the most updated medicines available and approved for prescribing and use.</t>
  </si>
  <si>
    <t>OpenRIMS-PV</t>
  </si>
  <si>
    <t>OpenRIMS-PV is a web-based application used by clinicians, regulatory bodies, and implementing partners to actively monitor the safety of medicines. It is part of the OpenRIMS suite (openrims.org).</t>
  </si>
  <si>
    <t>OpenSPP</t>
  </si>
  <si>
    <t>OpenSPP is an integrated and digital social protection information system that enables governments and humanitarian agencies to streamline the creation and management of assistance programs.</t>
  </si>
  <si>
    <t>OpenSRP</t>
  </si>
  <si>
    <t>Open source mobile health platform that allows frontline health workers to electronically register and track the health of their entire client population.</t>
  </si>
  <si>
    <t>OpenStreetMap</t>
  </si>
  <si>
    <t>OpenStreetMap is an initiative to create and provide free geographic data, such as street maps, to anyone. The OpenStreetMap Foundation (OSMF) is dedicated to encouraging the growth, development, and distribution of free geospatial data and to providing geospatial data for anyone to use and share.</t>
  </si>
  <si>
    <t>OpenTeleRehab</t>
  </si>
  <si>
    <t>Open Source, Multidisciplinary, Telerehabilitation Software</t>
  </si>
  <si>
    <t>Orthanc</t>
  </si>
  <si>
    <t>Orthanc is a free and open-source PACS server. It is designed to improve the DICOM workflows in hospitals, and to support research and education about medical imaging. The Orthanc ecosystem also features the Stone Web viewer as an effective teleradiology environment.</t>
  </si>
  <si>
    <t>PotLock</t>
  </si>
  <si>
    <t>PotLock is the portal for public goods, non-profits, and communities to raise funds transparently through a global donor network built on blockchain.</t>
  </si>
  <si>
    <t>PrepTime Analytics</t>
  </si>
  <si>
    <t>PrepTime Analytics is a form builder tool that runs data analysis on test scores and measures learning outcomes.</t>
  </si>
  <si>
    <t>PreSco: Neonatal Predictive Scoring Application and Platform</t>
  </si>
  <si>
    <t>Helping the diagnosis of infants affected by neonatal sepsis using machine learning</t>
  </si>
  <si>
    <t>Primero</t>
  </si>
  <si>
    <t>A web app for confidential case management and incident monitoring in social welfare, child protection, and gender-based violence.</t>
  </si>
  <si>
    <t>PRISM</t>
  </si>
  <si>
    <t>PRISM is a climate risk monitoring system that integrates geospatial data on hazards such as droughts, floods, tropical storms, and earthquakes, along with information on socioeconomic vulnerability, to inform disaster risk reduction and social assistance programmes.</t>
  </si>
  <si>
    <t>Product Catalog Management Tool</t>
  </si>
  <si>
    <t>The Product Catalog Management Tool aims to connect product catalogs in order to show a clear journey from manufacturer to patient. It establishes master data that includes GS1 identifiers, global categories, and mappings to local identifiers. This enables end-to-end visibility, allows shipments to ...</t>
  </si>
  <si>
    <t>Productive Forests</t>
  </si>
  <si>
    <t>Satellite Imagery Processing for Machine Learning Based Image Classification. Produtive Forests creates a forest inventory to support the sustainable use of non-timber related forest products</t>
  </si>
  <si>
    <t>Project AEDES</t>
  </si>
  <si>
    <t>Philippines</t>
  </si>
  <si>
    <t>Project AEDES, by CirroLytix is a tool that correlates dengue cases and deaths with real-time data from climate, google searches, and remote sensing, to predict potential dengue hotspot locations.</t>
  </si>
  <si>
    <t>QField</t>
  </si>
  <si>
    <t>Survey and digitize data in the field with seamless synchronization QField focuses on efficiently getting GIS fieldwork done and exchanging data between the field and the office in a comfortable and user-friendly way.</t>
  </si>
  <si>
    <t>QGIS</t>
  </si>
  <si>
    <t>QGIS is a full-featured, user-friendly, free-and-open-source (FOSS) geographical information system (GIS) that runs on Unix platforms, Windows, and MacOS.</t>
  </si>
  <si>
    <t>Quantification Analytics Tool</t>
  </si>
  <si>
    <t>QAT is a modular web-based country led forecasting and supply planning product designed to enable users to easily build and compare forecast, optimize commodity procurement and delivery schedules, monitory stock status of products and share data with stakeholders.</t>
  </si>
  <si>
    <t>QuarkID</t>
  </si>
  <si>
    <t>QuarkID is the digital trust framework developed by the Government of the City of Buenos Aires that creates a new digital identity system and gives people control over their information, with a security anchor through blockchain.</t>
  </si>
  <si>
    <t>Querido Diário</t>
  </si>
  <si>
    <t>Querido Diário is an open-source toolkit that enables the analysis, manipulation, and centralization of official data extracted from journals published by cities. It also makes this data accessible to everyone in a single platform through a standardized visual interface and a public API.</t>
  </si>
  <si>
    <t>Rahat</t>
  </si>
  <si>
    <t>Nepal</t>
  </si>
  <si>
    <t>Rahat is a collection of open-source blockchain-based digital relief distribution management projects for humanitarian agencies to support marginalized communities.</t>
  </si>
  <si>
    <t>RapidPro</t>
  </si>
  <si>
    <t>Open Source platform that allows anyone to build interactive messaging systems using an easy visual interface</t>
  </si>
  <si>
    <t>Register for Organic Agriculture</t>
  </si>
  <si>
    <t>Albania</t>
  </si>
  <si>
    <t>ROA is an innovative software tool designed to simplify the record-keeping process for farmers and agribusinesses, ensuring compliance with organic standards and EU Regulation 2018/848 for organic agriculture.</t>
  </si>
  <si>
    <t>Rights Tracker</t>
  </si>
  <si>
    <t>A freely available tool robustly tracking the human rights performance of countries.</t>
  </si>
  <si>
    <t>Rocky Linux</t>
  </si>
  <si>
    <t>Rocky Linux is a community-driven, enterprise-grade, free and open source operating system compatible with established Enterprise Linux standards.</t>
  </si>
  <si>
    <t>Safe YOU</t>
  </si>
  <si>
    <t>Armenia</t>
  </si>
  <si>
    <t>Safe YOU is an innovative technological solution created to reduce gender-based violence through a mobile application and multifunctional web platform which work to streamline prevention programmes and ensure safety and access to resources for all women and girls.</t>
  </si>
  <si>
    <t>SanteSuite</t>
  </si>
  <si>
    <t>SanteSuite (SanteIMS &amp; SanteMPI) is an essential suite of products for national digital health infrastructure components that leverages a unique identity to facilitate data consolidation, harmonization, sharing, and building health information exchanges (e.g., OpenHIE) to establish interoperability ...</t>
  </si>
  <si>
    <t>Sentinel-2 10m Land Use/Land Cover Time Series</t>
  </si>
  <si>
    <t>Sentinel-2 10m Land Cover Time Series provides public access to global land use and land cover data of the world from 2017-2022 with 10 meter resolution.</t>
  </si>
  <si>
    <t>Simple</t>
  </si>
  <si>
    <t>Free software to manage large-scale hypertension and diabetes control programs.</t>
  </si>
  <si>
    <t>Somleng</t>
  </si>
  <si>
    <t>Low-cost interactive voice response system for communities with low literacy levels</t>
  </si>
  <si>
    <t>SPICE</t>
  </si>
  <si>
    <t>SPICE is a community-based platform for data-driven population health. SPICE leverages clinical algorithms to screen, refer, and manage patients based on clinical risk, transforming care delivery from reactive to proactive while linking community-based work bi-directionally with health facilities an...</t>
  </si>
  <si>
    <t>StoryWeaver</t>
  </si>
  <si>
    <t>StoryWeaver is a digital platform that addresses the global book gap by providing open &amp; free access to quality children's storybooks in multiple languages. Available in multiple formats, the books overcome the issue of digital access and can be read online &amp; offline.</t>
  </si>
  <si>
    <t>Sunbird Ed</t>
  </si>
  <si>
    <t>Sunbird is an open-source, configurable, extendable, modular, digital infrastructure for learning and human development that is designed for massive scale implementations.</t>
  </si>
  <si>
    <t>Sunbird RC</t>
  </si>
  <si>
    <t>Sunbird Registry and Credential or simply "Sunbird RC" is an open source software to rapidly build and deploy next generation electronic registries and verifiable credentials including attestation and verification flows.</t>
  </si>
  <si>
    <t>Sunbird Saral</t>
  </si>
  <si>
    <t>Sunbird Saral has been conceptualized to enable users to create structured digital information from a physical form. Saral works as a solution that can phygitize data on physical printed sheets and upload the data onto a back end in a structured format via a scan.</t>
  </si>
  <si>
    <t>Sunbird SERVE</t>
  </si>
  <si>
    <t>Sunbird SERVE building block can enable efficient volunteer interactions that add significant value to society and overall human development. It enables relevant actors to crowdsource volunteers for their needs and participate in interactions like nominate, approve, promote, acknowledge, recognition...</t>
  </si>
  <si>
    <t>Surveillance Outbreak Response Management and Analysis System</t>
  </si>
  <si>
    <t>SORMAS is an open source mobile and web-based eHealth software for organizing and facilitating disease control, outbreak management procedures, disease surveillance, and epidemiological analysis for all administrative levels of the public health system. SORMAS aims to improve prevention, early detec...</t>
  </si>
  <si>
    <t>Syft</t>
  </si>
  <si>
    <t>Syft allows external researchers to securely conduct remote data science while protecting privacy, security, and intellectual property.</t>
  </si>
  <si>
    <t>Synthea</t>
  </si>
  <si>
    <t>Synthea is an open-source synthetic patient generator that models the medical history of synthetic patients and produces synthetic health data free from cost, privacy, and security restrictions.</t>
  </si>
  <si>
    <t>Tazama</t>
  </si>
  <si>
    <t>Open Source Real-Time Transaction Monitoring Software for Fraud and Money Laundering Detection. Tazama provides anti-fraud capabilities to Mojaloop, MIFOS, and other payment systems.</t>
  </si>
  <si>
    <t>The Land Portal</t>
  </si>
  <si>
    <t>A digital portal making land information open, accessible, and inclusive. As a global hub for land governance knowledge, we empower communities by unlocking hidden data and amplifying unheard voices.</t>
  </si>
  <si>
    <t>The Turing Way</t>
  </si>
  <si>
    <t>The Turing Way is an open source, open collaboration and community-driven guide on data science. We involve an internal open science community in creating and sharing best practices for open, reproducible, ethical and collaborative data science.</t>
  </si>
  <si>
    <t>The Ushahidi Platform</t>
  </si>
  <si>
    <t>The Ushahidi Platform is an integrated data crowdsourcing and mapping tool that allows people to rapidly collect, manage and analyze crowdsourced information from their communities. Empowering communities to thrive as a result of accessible data and technology.</t>
  </si>
  <si>
    <t>Tor Browser</t>
  </si>
  <si>
    <t>Tor advances human rights and protects users' privacy on the internet by hiding the connection between their internet address and the services they use.</t>
  </si>
  <si>
    <t>Torkel Opsahl Academic EPublisher</t>
  </si>
  <si>
    <t>TOAEP is the first open access academic international law publisher.</t>
  </si>
  <si>
    <t>TradeTrust</t>
  </si>
  <si>
    <t>TradeTrust is an open-source software that digitizes international trade documents, reducing paperwork, documentation costs, and the risks of fraud. TradeTrust enables the industry to verify a document's authenticity and create Electronic Transferable Records (ETRs).</t>
  </si>
  <si>
    <t>TruBudget</t>
  </si>
  <si>
    <t>A blockchain-based workflow tool for an efficient and transparent project management</t>
  </si>
  <si>
    <t>TrueNAS</t>
  </si>
  <si>
    <t>TrueNAS is the world's most deployed storage software with millions of users, including the majority of F500 companies, delivering scalable and fully-capable unified storage for valuable data.</t>
  </si>
  <si>
    <t>TYPO3</t>
  </si>
  <si>
    <t>TYPO3 is a powerful, open-source CMS backed by a vibrant professional community and commercial ecosystem. Built for enterprise, it fulfills the security and service needs of a modern business, while its feature-rich core delivers across sectors, industries, and organizations.</t>
  </si>
  <si>
    <t>Uli</t>
  </si>
  <si>
    <t>Uli is a browser plugin that provides tools for relief collective response to online gendered abuse. It is backed by open datasets of slurs and an ML model for redaction of gendered abuse in Indian languages.</t>
  </si>
  <si>
    <t>UNIDO Industrial Analytics Platform</t>
  </si>
  <si>
    <t>Austria</t>
  </si>
  <si>
    <t>UNIDO's IAP is a data-driven knowledge platform that advances evidence-based policy dialogue, fosters thought leadership and connects global communities to share knowledge and practice in the field of industrial development.</t>
  </si>
  <si>
    <t>UPYOG</t>
  </si>
  <si>
    <t>The Urban Platform for DeliverY of Online Governance (UPYOG) is a set of Open APIs, services, and reference implementations, setup as a public good, to allow government entities, businesses, startups, and civil society to use a unique digital Infrastructure and build solutions at a large scale. Deve...</t>
  </si>
  <si>
    <t>UrbanPy</t>
  </si>
  <si>
    <t>A library to download, process and visualize high resolution urban data in an easy and fast way. It also estimates and visualizes urban service accessibility, i.e. how long it takes to reach a bank, grocery store, public park, hospital, etc., from every location in a city.</t>
  </si>
  <si>
    <t>Uwazi</t>
  </si>
  <si>
    <t>Uwazi is an open-source web-based database application designed for human rights defenders to manage collections of information, including documents, evidence, cases and complaints.</t>
  </si>
  <si>
    <t>VaccineLedger</t>
  </si>
  <si>
    <t>VaccineLedger is a decentralized supply chain management platform that leverages blockchain technology, Internet of Things (IoT), Artificial Technology to capture data for every vaccine and other medical products in the supply chains from manufacturer to the beneficiary.</t>
  </si>
  <si>
    <t>VIPS</t>
  </si>
  <si>
    <t>Open platform for automatic pest prediction in agriculture created by NIBIO, Norway</t>
  </si>
  <si>
    <t>Vxnaid</t>
  </si>
  <si>
    <t>Vxnaid is a digital platform that supports correct vaccine administration &amp; efficient vaccination campaigns. Enable broad adoption of Vxnaid especially in RLS countries to ensure correct administration of vaccines, identification of vaccinees, follow-up/recall of vaccinated persons and understanding...</t>
  </si>
  <si>
    <t>WaPOR</t>
  </si>
  <si>
    <t>The FAO portal to monitor water productivity through open access of remotely sensed derived data.</t>
  </si>
  <si>
    <t>Website Factory</t>
  </si>
  <si>
    <t>Website Factory is a custom website builder designed specifically for non-profit organisations, fully responsive, accessible and user-friendly, integrated with payment processors and other tools dedicated to CSOs.</t>
  </si>
  <si>
    <t>Wikipedia</t>
  </si>
  <si>
    <t>Wikipedia is a free online encyclopedia, created and edited by volunteers around the world and hosted by the Wikimedia Foundation.</t>
  </si>
  <si>
    <t>Wikirate Data</t>
  </si>
  <si>
    <t>Wikirate is an open data platform powered by a global community that collects, analyzes and shares data on company commitments, actions and impacts on people and the planet.</t>
  </si>
  <si>
    <t>X-Road®</t>
  </si>
  <si>
    <t>Estonia</t>
  </si>
  <si>
    <t>X-Road is open-source software and ecosystem solution that provides unified and secure data exchange between organisations.</t>
  </si>
  <si>
    <t>Xcapit</t>
  </si>
  <si>
    <t>Xcapit is promoting financial inclusion by developing blockchain-based solutions that extend even to areas lacking digital infrastructure. This includes open-source, web 3 non-custodial crypto wallets and more.</t>
  </si>
  <si>
    <t>Zamba</t>
  </si>
  <si>
    <t>AI tools for wildlife monitoring with camera trap videos. Zamba is a command-line tool built in Python to automatically identify the species seen in camera trap videos from sites in central Africa. The tool makes predictions for 24 common species in these videos.</t>
  </si>
  <si>
    <t>Aam Digital GmbH</t>
  </si>
  <si>
    <t>Public fund "Tandau Foundation"</t>
  </si>
  <si>
    <t>University of Geneva, GeoHealth group</t>
  </si>
  <si>
    <t>Community Health Impact Coalition and Digital Medic, an initiative of the Stanford Center for Health Education</t>
  </si>
  <si>
    <t>Video</t>
  </si>
  <si>
    <t>Saide</t>
  </si>
  <si>
    <t>Mobile, Web</t>
  </si>
  <si>
    <t>Food and Agriculture Organization of the United Nations (FAO)</t>
  </si>
  <si>
    <t>data portal</t>
  </si>
  <si>
    <t>Data portal</t>
  </si>
  <si>
    <t>FAO Regional Office for Europe and Central Asia</t>
  </si>
  <si>
    <t>Content Aggregator</t>
  </si>
  <si>
    <t>Text</t>
  </si>
  <si>
    <t>Development Gateway, Inc</t>
  </si>
  <si>
    <t>Norwegian Digitalisation Agency</t>
  </si>
  <si>
    <t>web</t>
  </si>
  <si>
    <t>1, 3, 4, 5, 8, 10, 16</t>
  </si>
  <si>
    <t>11</t>
  </si>
  <si>
    <t>3</t>
  </si>
  <si>
    <t>3, 8</t>
  </si>
  <si>
    <t>4</t>
  </si>
  <si>
    <t>1, 2, 12, 15</t>
  </si>
  <si>
    <t>2, 9, 12, 13, 14, 15, 17</t>
  </si>
  <si>
    <t>1, 2, 5, 6, 12, 14, 15</t>
  </si>
  <si>
    <t>1, 2, 5, 6, 12, 14, 15, 17</t>
  </si>
  <si>
    <t>16</t>
  </si>
  <si>
    <t>1, 16, 17</t>
  </si>
  <si>
    <t>3, 4, 6</t>
  </si>
  <si>
    <t>3, 10</t>
  </si>
  <si>
    <t>2, 3, 4, 5</t>
  </si>
  <si>
    <t>3, 17</t>
  </si>
  <si>
    <t>1, 12, 17</t>
  </si>
  <si>
    <t>3, 4, 10</t>
  </si>
  <si>
    <t>1</t>
  </si>
  <si>
    <t>7, 11, 13</t>
  </si>
  <si>
    <t>1, 4, 7, 8, 9, 10, 11, 13, 16</t>
  </si>
  <si>
    <t>4, 5, 8, 10</t>
  </si>
  <si>
    <t>4, 17</t>
  </si>
  <si>
    <t>1, 2, 3, 4, 10, 11</t>
  </si>
  <si>
    <t>3, 5, 17</t>
  </si>
  <si>
    <t>2, 3, 8</t>
  </si>
  <si>
    <t>4, 9, 10, 16, 17</t>
  </si>
  <si>
    <t>8, 9, 10, 17</t>
  </si>
  <si>
    <t>3, 4, 6, 8, 9</t>
  </si>
  <si>
    <t>10, 17</t>
  </si>
  <si>
    <t>4, 9</t>
  </si>
  <si>
    <t>10</t>
  </si>
  <si>
    <t>9, 11</t>
  </si>
  <si>
    <t>3, 4, 13, 17</t>
  </si>
  <si>
    <t>13</t>
  </si>
  <si>
    <t>9, 11, 17</t>
  </si>
  <si>
    <t>9, 10, 17</t>
  </si>
  <si>
    <t>9, 16</t>
  </si>
  <si>
    <t>16, 17</t>
  </si>
  <si>
    <t>8, 10, 17</t>
  </si>
  <si>
    <t>2, 3, 5, 8</t>
  </si>
  <si>
    <t>15</t>
  </si>
  <si>
    <t>1, 8, 9, 10, 12</t>
  </si>
  <si>
    <t>7</t>
  </si>
  <si>
    <t>3, 4, 17</t>
  </si>
  <si>
    <t>1, 2, 13</t>
  </si>
  <si>
    <t>1, 5, 10, 17</t>
  </si>
  <si>
    <t>5, 12, 14, 15</t>
  </si>
  <si>
    <t>2, 12, 13</t>
  </si>
  <si>
    <t>2, 10</t>
  </si>
  <si>
    <t>8</t>
  </si>
  <si>
    <t>2</t>
  </si>
  <si>
    <t>3, 13, 16</t>
  </si>
  <si>
    <t>3, 4, 11, 17</t>
  </si>
  <si>
    <t>1, 2, 3, 4, 11, 15</t>
  </si>
  <si>
    <t>3, 11</t>
  </si>
  <si>
    <t>3, 6, 8, 11</t>
  </si>
  <si>
    <t>5, 10, 16</t>
  </si>
  <si>
    <t>1, 2, 5, 9, 17</t>
  </si>
  <si>
    <t>1, 3, 5, 6, 8, 17</t>
  </si>
  <si>
    <t>3, 9</t>
  </si>
  <si>
    <t>1, 2, 3, 4, 6, 10</t>
  </si>
  <si>
    <t>5, 6, 11, 13</t>
  </si>
  <si>
    <t>2, 3, 4</t>
  </si>
  <si>
    <t>9, 11, 12, 13, 17</t>
  </si>
  <si>
    <t>4, 9, 17</t>
  </si>
  <si>
    <t>9</t>
  </si>
  <si>
    <t>3, 4, 16</t>
  </si>
  <si>
    <t>3, 4, 5, 10, 11, 13</t>
  </si>
  <si>
    <t>8, 9, 16</t>
  </si>
  <si>
    <t>4, 10</t>
  </si>
  <si>
    <t>9, 17</t>
  </si>
  <si>
    <t>11, 13, 14</t>
  </si>
  <si>
    <t>9, 16, 17</t>
  </si>
  <si>
    <t>8, 10</t>
  </si>
  <si>
    <t>1, 8, 10, 16</t>
  </si>
  <si>
    <t>1, 8</t>
  </si>
  <si>
    <t>1, 9, 10, 16, 17</t>
  </si>
  <si>
    <t>1, 2, 3, 4, 5, 8, 9, 10, 16, 17</t>
  </si>
  <si>
    <t>5, 10, 17</t>
  </si>
  <si>
    <t>7, 8, 9, 12, 13, 17</t>
  </si>
  <si>
    <t>4, 8</t>
  </si>
  <si>
    <t>4, 5, 10, 11, 17</t>
  </si>
  <si>
    <t>1, 2, 3, 4, 6, 7, 8, 13, 14, 15, 16</t>
  </si>
  <si>
    <t>3, 5, 6</t>
  </si>
  <si>
    <t>3, 10, 17</t>
  </si>
  <si>
    <t>3, 13</t>
  </si>
  <si>
    <t>11, 13</t>
  </si>
  <si>
    <t>1, 8, 9, 10, 11, 13, 16, 17</t>
  </si>
  <si>
    <t>1, 4, 15</t>
  </si>
  <si>
    <t>1, 2, 3, 4, 5, 8, 10, 16, 17</t>
  </si>
  <si>
    <t>1, 3, 8, 9, 17</t>
  </si>
  <si>
    <t>4, 9, 10, 12</t>
  </si>
  <si>
    <t>1, 2, 3, 4, 5, 10, 17</t>
  </si>
  <si>
    <t>3, 6, 9, 10, 11, 13, 15</t>
  </si>
  <si>
    <t>5, 8, 16</t>
  </si>
  <si>
    <t>1, 11, 13</t>
  </si>
  <si>
    <t>8, 12</t>
  </si>
  <si>
    <t>6, 9, 11, 13, 15, 16</t>
  </si>
  <si>
    <t>11, 13, 15</t>
  </si>
  <si>
    <t>8, 9, 11, 16</t>
  </si>
  <si>
    <t>1, 2, 5, 11</t>
  </si>
  <si>
    <t>3, 10, 16</t>
  </si>
  <si>
    <t>2, 12, 13, 15</t>
  </si>
  <si>
    <t>1, 2, 3, 4, 5, 6, 10, 16</t>
  </si>
  <si>
    <t>5</t>
  </si>
  <si>
    <t>3, 5, 9, 10</t>
  </si>
  <si>
    <t>2, 3, 4, 8, 10, 11, 16</t>
  </si>
  <si>
    <t>8, 16</t>
  </si>
  <si>
    <t>1, 2, 5, 11, 15, 16</t>
  </si>
  <si>
    <t>5, 6, 13, 16</t>
  </si>
  <si>
    <t>4, 16</t>
  </si>
  <si>
    <t>8, 9, 12, 17</t>
  </si>
  <si>
    <t>1, 17</t>
  </si>
  <si>
    <t>8, 9, 12</t>
  </si>
  <si>
    <t>9, 10</t>
  </si>
  <si>
    <t>5, 16</t>
  </si>
  <si>
    <t>6, 8, 9, 16, 17</t>
  </si>
  <si>
    <t>3, 9, 12</t>
  </si>
  <si>
    <t>2, 13, 15</t>
  </si>
  <si>
    <t>2, 6, 12, 13, 17</t>
  </si>
  <si>
    <t>4, 5, 10, 16, 17</t>
  </si>
  <si>
    <t>1, 3, 7, 8, 9, 11, 13, 16</t>
  </si>
  <si>
    <t>1, 5, 8, 9, 10, 17</t>
  </si>
  <si>
    <t>Google</t>
  </si>
  <si>
    <t>Other</t>
  </si>
  <si>
    <t>backend, web</t>
  </si>
  <si>
    <t>Apache Software Foundation</t>
  </si>
  <si>
    <t>Samanvay Foundation</t>
  </si>
  <si>
    <t>mobile, web</t>
  </si>
  <si>
    <t>desktop</t>
  </si>
  <si>
    <t>UNICEF</t>
  </si>
  <si>
    <t>Emory University</t>
  </si>
  <si>
    <t>library</t>
  </si>
  <si>
    <t>Open Healthcare Network</t>
  </si>
  <si>
    <t>desktop, mobile, web</t>
  </si>
  <si>
    <t>ottaa project</t>
  </si>
  <si>
    <t>Epiverse-TRACE; Pratik Gupte</t>
  </si>
  <si>
    <t>Chamilo Association</t>
  </si>
  <si>
    <t>Regents of the University of California</t>
  </si>
  <si>
    <t>Columbia Department of Biomedical Informatics</t>
  </si>
  <si>
    <t>text</t>
  </si>
  <si>
    <t>Jose Ramon Vazquez-Canteli, Kingsley Nweye, Zoltan Nagy</t>
  </si>
  <si>
    <t>Open Knowledge Foundation</t>
  </si>
  <si>
    <t>web, data portal</t>
  </si>
  <si>
    <t>-</t>
  </si>
  <si>
    <t>CodiPlay founder (Zhanadil Taldybayev)</t>
  </si>
  <si>
    <t>Dimagi</t>
  </si>
  <si>
    <t>Medic Mobile, Inc.</t>
  </si>
  <si>
    <t>backend, mobile</t>
  </si>
  <si>
    <t>Janssen Pharmaceutica NV. (A company of Johnson &amp; Johnson)</t>
  </si>
  <si>
    <t>The original author of the software is the Madrid City Council. The Consul Democracy Foundation is the owner and maintainer of the main international GitHub repository used by all cities using the software worldwide.</t>
  </si>
  <si>
    <t>Convexity Technologies Limited</t>
  </si>
  <si>
    <t>EkStep Foundation</t>
  </si>
  <si>
    <t>Creative Commons</t>
  </si>
  <si>
    <t>Blockster Labs Private Limited</t>
  </si>
  <si>
    <t>backend, mobile, web</t>
  </si>
  <si>
    <t>Project Tech4Dev</t>
  </si>
  <si>
    <t>DataKind</t>
  </si>
  <si>
    <t>United Nations Development Programme</t>
  </si>
  <si>
    <t>Tonkünstler-on-the-Bund</t>
  </si>
  <si>
    <t>Dataset</t>
  </si>
  <si>
    <t>Decidim Free Software Association</t>
  </si>
  <si>
    <t>DrivenData</t>
  </si>
  <si>
    <t>iGrant.io, Sweden (LCubed AB)</t>
  </si>
  <si>
    <t>backend</t>
  </si>
  <si>
    <t>HISP Centre, University of Oslo</t>
  </si>
  <si>
    <t>eGovernments Foundation</t>
  </si>
  <si>
    <t>backend, other, web</t>
  </si>
  <si>
    <t>Digital Impact Alliance</t>
  </si>
  <si>
    <t>CivicActions</t>
  </si>
  <si>
    <t>Aspire to Innovate (a2i) Programme (A Multinational Digital Transformation Catalyst from the Government of Bangladesh)</t>
  </si>
  <si>
    <t>API</t>
  </si>
  <si>
    <t>Drupal Association, 501c3 and Dries Buytaert, Drupal Founder</t>
  </si>
  <si>
    <t>TIP Global Health</t>
  </si>
  <si>
    <t>Eco-Index</t>
  </si>
  <si>
    <t>Aspire to Innovate (a2i) Programme ( A Multinational Digital Transformation Catalyst from the Government of Bangladesh)</t>
  </si>
  <si>
    <t>World Resources Institute</t>
  </si>
  <si>
    <t>Epiverse-TRACE</t>
  </si>
  <si>
    <t>Library</t>
  </si>
  <si>
    <t>Ersilia Open Source Initiative</t>
  </si>
  <si>
    <t>Everwell Health Solutions Pvt. Ltd.</t>
  </si>
  <si>
    <t>Food and Agriculture Organization of the United Nations</t>
  </si>
  <si>
    <t>FAO</t>
  </si>
  <si>
    <t>dataset</t>
  </si>
  <si>
    <t>text, content aggregator</t>
  </si>
  <si>
    <t>Digital Green</t>
  </si>
  <si>
    <t>Fedora Project</t>
  </si>
  <si>
    <t>Desktop</t>
  </si>
  <si>
    <t>Tattle Civic Tech</t>
  </si>
  <si>
    <t>other</t>
  </si>
  <si>
    <t>PATH</t>
  </si>
  <si>
    <t>API, data portal</t>
  </si>
  <si>
    <t>Open Government Products, Government Technology Agency of Singapore</t>
  </si>
  <si>
    <t>Provincia Autonoma di Bolzano (public administration)</t>
  </si>
  <si>
    <t>TerraFrame, Inc.</t>
  </si>
  <si>
    <t>desktop, backend</t>
  </si>
  <si>
    <t>mobile</t>
  </si>
  <si>
    <t>Open Healthsite Consulting</t>
  </si>
  <si>
    <t>European Commission</t>
  </si>
  <si>
    <t>IntraHealth International</t>
  </si>
  <si>
    <t>GNU Solidario</t>
  </si>
  <si>
    <t>World Health Organization (WHO)</t>
  </si>
  <si>
    <t>Zenysis Technologies Inc.</t>
  </si>
  <si>
    <t>Iabsis SARL</t>
  </si>
  <si>
    <t>Swasth Digital Health Foundation</t>
  </si>
  <si>
    <t>Commit Global</t>
  </si>
  <si>
    <t>Humanitarian OpenStreetMap Team</t>
  </si>
  <si>
    <t>Bluesquare</t>
  </si>
  <si>
    <t>if-me.org</t>
  </si>
  <si>
    <t>IntraHealth</t>
  </si>
  <si>
    <t>HLN Consulting, LLC</t>
  </si>
  <si>
    <t>PT Bookbot Indonesia</t>
  </si>
  <si>
    <t>Dyne.org Foundation</t>
  </si>
  <si>
    <t>Government Technology Agency of Singapore</t>
  </si>
  <si>
    <t>Investtools</t>
  </si>
  <si>
    <t>Linux Foundation</t>
  </si>
  <si>
    <t>NINAAD Digital Technology Private Limited</t>
  </si>
  <si>
    <t>Jembi Health Systems NPC</t>
  </si>
  <si>
    <t>Kobo, Inc</t>
  </si>
  <si>
    <t>Learning Equality</t>
  </si>
  <si>
    <t>Direction Interministérielle du Numérique (DINUM)</t>
  </si>
  <si>
    <t>Global Legal Entity Identifier Foundation</t>
  </si>
  <si>
    <t>API, dataset</t>
  </si>
  <si>
    <t>Centre for International Law Research and Policy (CILRAP)</t>
  </si>
  <si>
    <t>text, video</t>
  </si>
  <si>
    <t>The Document Foundation</t>
  </si>
  <si>
    <t>LibreCode coop</t>
  </si>
  <si>
    <t>data.org</t>
  </si>
  <si>
    <t>UNICEF (United Nations Children's Fund)</t>
  </si>
  <si>
    <t>National Centre for Coastal Research, Ministry of Earth Sciences, Government of India</t>
  </si>
  <si>
    <t>Mastodon gGmbH</t>
  </si>
  <si>
    <t>Mautic is fiscally hosted by Open Source Collective, who hold the trademarks and brand on behalf of the project.</t>
  </si>
  <si>
    <t>HSBC GLOBAL SERVICES (UK) LIMITED</t>
  </si>
  <si>
    <t>Argu Soft India Limited</t>
  </si>
  <si>
    <t>Norwegian Meteorological Institute</t>
  </si>
  <si>
    <t>The Mifos Initiative</t>
  </si>
  <si>
    <t>Mojaloop Foundation</t>
  </si>
  <si>
    <t>International Institute of Information Technology Bangalore</t>
  </si>
  <si>
    <t>Mozilla Foundation</t>
  </si>
  <si>
    <t>Notesmaster Caribbean</t>
  </si>
  <si>
    <t>multimedia</t>
  </si>
  <si>
    <t>Get ODK Inc</t>
  </si>
  <si>
    <t>Government Technology Agency, Singapore</t>
  </si>
  <si>
    <t>Open Concept Lab LLC</t>
  </si>
  <si>
    <t>Google Health</t>
  </si>
  <si>
    <t>Open Supply Hub, Inc.</t>
  </si>
  <si>
    <t>prototypes Community</t>
  </si>
  <si>
    <t>Open Terms Archive Collective</t>
  </si>
  <si>
    <t>content aggregator</t>
  </si>
  <si>
    <t>Pryv SA</t>
  </si>
  <si>
    <t>Frank Verbeke and Commercial Edition by Post-Factum BV</t>
  </si>
  <si>
    <t>opencrvs.org</t>
  </si>
  <si>
    <t>The University of Washington (steward)</t>
  </si>
  <si>
    <t>Chatterbox Solutions</t>
  </si>
  <si>
    <t>Apperta Foundation CIC</t>
  </si>
  <si>
    <t>OpenFisca Foundation</t>
  </si>
  <si>
    <t>Open Function Group</t>
  </si>
  <si>
    <t>Bluesquare SA</t>
  </si>
  <si>
    <t>Deutsche Gesellschaft für Internationale Zusammenarbeit (GIZ)/Swiss Agency for Development and Cooperation (SDC) as licence owner</t>
  </si>
  <si>
    <t>OpenMandriva Association</t>
  </si>
  <si>
    <t>OpenMRS, Inc.</t>
  </si>
  <si>
    <t>Management Sciences for Health</t>
  </si>
  <si>
    <t>Management Sciences for Health (MSH)</t>
  </si>
  <si>
    <t>Ona</t>
  </si>
  <si>
    <t>OpenStreetMap Foundation LLC</t>
  </si>
  <si>
    <t>API, database, data portal</t>
  </si>
  <si>
    <t>Humanity &amp; Inclusion</t>
  </si>
  <si>
    <t>University Hospital of Liège, Osimis S.A., and UCLouvain university</t>
  </si>
  <si>
    <t>PotLuck Foundation DAO, LLC (A Marshall Island DAO LLC)</t>
  </si>
  <si>
    <t>Scribble Works</t>
  </si>
  <si>
    <t>Avyantra Health Technologies</t>
  </si>
  <si>
    <t>United Nations World Food Programme</t>
  </si>
  <si>
    <t>VillageReach</t>
  </si>
  <si>
    <t>Bioverse Labs</t>
  </si>
  <si>
    <t>Cirrolytix Research Services</t>
  </si>
  <si>
    <t>web interface</t>
  </si>
  <si>
    <t>OPENGIS.ch</t>
  </si>
  <si>
    <t>desktop, mobile</t>
  </si>
  <si>
    <t>QGIS Association</t>
  </si>
  <si>
    <t>Chemonics International, Inc.</t>
  </si>
  <si>
    <t>Buenos Aires City Government</t>
  </si>
  <si>
    <t>Open Knowledge Brasil (OKBR)</t>
  </si>
  <si>
    <t>Rumsan Associates Private Limited</t>
  </si>
  <si>
    <t>United Nations Children's Fund</t>
  </si>
  <si>
    <t>ORGANIKA Association</t>
  </si>
  <si>
    <t>Human Rights Measurement Initiative Charitable Trust</t>
  </si>
  <si>
    <t>Rocky Enterprise Software Foundation</t>
  </si>
  <si>
    <t>Impact Innovations Institute LLC</t>
  </si>
  <si>
    <t>SantéSuite Inc.</t>
  </si>
  <si>
    <t>Impact Observatory</t>
  </si>
  <si>
    <t>dataset, data portal</t>
  </si>
  <si>
    <t>Resolve to Save Lives</t>
  </si>
  <si>
    <t>Medtronic LABS</t>
  </si>
  <si>
    <t>Pratham Books</t>
  </si>
  <si>
    <t>eVean Foundation</t>
  </si>
  <si>
    <t>SORMAS Foundation</t>
  </si>
  <si>
    <t>OpenMined Foundation</t>
  </si>
  <si>
    <t>The MITRE Corporation</t>
  </si>
  <si>
    <t>The Linux Foundation</t>
  </si>
  <si>
    <t>Stiching The Land Portal (Land Portal Foundation)</t>
  </si>
  <si>
    <t>multimedia, content aggregator</t>
  </si>
  <si>
    <t>The project is hosted and funded by The Alan Turing Institute, and owned by the community and led by project leads, Dr. Kirstie Whitaker and Dr. Malvika Sharan</t>
  </si>
  <si>
    <t>Ushahidi Inc.</t>
  </si>
  <si>
    <t>Tor Project</t>
  </si>
  <si>
    <t>Singapore Infocomm Media Development Authority (IMDA)</t>
  </si>
  <si>
    <t>KfW (Kreditanstalt für Wiederaufbau)</t>
  </si>
  <si>
    <t>iXsystems</t>
  </si>
  <si>
    <t>TYPO3 Association</t>
  </si>
  <si>
    <t>Tattle Civic Technologies Pvt Ltd</t>
  </si>
  <si>
    <t>United Nations Industrial Development Organization (UNIDO)</t>
  </si>
  <si>
    <t>National Institute of Urban Affairs</t>
  </si>
  <si>
    <t>Inter-American Development Bank</t>
  </si>
  <si>
    <t>HURIDOCS (Human Rights Information and Documentation Systems)</t>
  </si>
  <si>
    <t>StaTwig</t>
  </si>
  <si>
    <t>NIBIO</t>
  </si>
  <si>
    <t>Johnson &amp; Johnson Global Public Health</t>
  </si>
  <si>
    <t>Wikimedia Foundation, Inc.</t>
  </si>
  <si>
    <t>Wikirate International e.V.</t>
  </si>
  <si>
    <t>Nordic Institute for Interoperability Solutions (NIIS)</t>
  </si>
  <si>
    <t>addon</t>
  </si>
  <si>
    <t>DPG</t>
  </si>
  <si>
    <t>Example</t>
  </si>
  <si>
    <t>"CityLearn is an open source OpenAI Gym environment for the implementation of advanced control systems, e.g., MPC, and Multi-Agent Reinforcement Learning (RL) for building energy coordination and demand response in several buildings."</t>
  </si>
  <si>
    <t>Description, DPG Website</t>
  </si>
  <si>
    <t>https://www.digitalpublicgoods.net/r/citylearn</t>
  </si>
  <si>
    <t>"CityLearn is an open source Farama Foundation Gymnasium environment for the implementation of Multi-Agent Reinforcement Learning (RL) for building energy coordination and demand response in cities."</t>
  </si>
  <si>
    <t>Readme-File, Github</t>
  </si>
  <si>
    <t>https://github.com/intelligent-environments-lab/CityLearn/blob/master/README.md</t>
  </si>
  <si>
    <t>Packages include numpy, pandas, scikit-learn</t>
  </si>
  <si>
    <t>Requirements-File</t>
  </si>
  <si>
    <t>https://github.com/intelligent-environments-lab/CityLearn/blob/master/requirements.txt</t>
  </si>
  <si>
    <t>https://github.com/bookbot-hive/k2-indonesian-asr/blob/main/README.md</t>
  </si>
  <si>
    <t>"Indonesian speech/phoneme recognizer powered by Kaldi 2.0 (lhotse, icefall, sherpa). […] All models released here are trained on icefall (which runs on PyTorch) and are converted for deployment via sherpa-ncnn"</t>
  </si>
  <si>
    <t>Packages include pandas, scikit-learn</t>
  </si>
  <si>
    <t>https://github.com/Cirrolytix/aedes_dpg/blob/main/requirements.txt</t>
  </si>
  <si>
    <t>"Run denguemodel.py under /code to produce the forecast data."</t>
  </si>
  <si>
    <t>https://github.com/Cirrolytix/aedes_dpg/blob/main/readme.md</t>
  </si>
  <si>
    <t>Time Series modeling, splitting data into train/test, fitting linear regression model, initialize variables, run backward stepwise regression and get top 3 models</t>
  </si>
  <si>
    <t>https://github.com/Cirrolytix/aedes_dpg/wiki/H.-Functional-Documentation</t>
  </si>
  <si>
    <t>Functional Documentation</t>
  </si>
  <si>
    <t>"Helping the diagnosis of infants affected by neonatal sepsis using machine learning"</t>
  </si>
  <si>
    <t>https://www.digitalpublicgoods.net/r/avyantra-health-technologies</t>
  </si>
  <si>
    <t>"In order to train the machine learning algorithm, we've developed a data collection portal (coded in AngularJS). This portal is supported by a nodeJS API backend and finally the data is saved in MySQL database. Training and predicting the probability of a baby having neonatal sepsis was done using in Python."</t>
  </si>
  <si>
    <t>https://github.com/kvklrao/PreSco/blob/master/README.md</t>
  </si>
  <si>
    <t xml:space="preserve">Packages include numpy, pandas, scikit-learn </t>
  </si>
  <si>
    <t>https://github.com/kvklrao/PreSco/blob/master/03_PredictionCode/requirements.txt</t>
  </si>
  <si>
    <t>"Satellite Imagery Processing for Machine Learning Based Image Classification. Produtive Forests creates a forest inventory to support the sustainable use of non-timber related forest products"</t>
  </si>
  <si>
    <t>https://www.digitalpublicgoods.net/r/productive-forests</t>
  </si>
  <si>
    <t>"Designed to serve traditional communities of the amazon rain forest, the Forest Map displays vector files generated from machine learning algorithms designed to locates key tree species from satellite imagery and or UAS"</t>
  </si>
  <si>
    <t>https://github.com/Bioverse-Labs/forest-map-app</t>
  </si>
  <si>
    <t>"AI tools for wildlife monitoring with camera trap videos. Zamba is a command-line tool built in Python to automatically identify the species seen in camera trap videos from sites in central Africa. The tool makes predictions for 24 common species in these videos."</t>
  </si>
  <si>
    <t>https://www.digitalpublicgoods.net/r/zamba</t>
  </si>
  <si>
    <t>"zamba is a tool built in Python that uses machine learning and computer vision to automatically detect and classify animals in camera trap images and videos."</t>
  </si>
  <si>
    <t>https://github.com/drivendataorg/zamba/blob/master/README.md</t>
  </si>
  <si>
    <t>"A multilingual open voice dataset created by Mozilla Common Voice, an initiative to help teach machines how real people speak"</t>
  </si>
  <si>
    <t>https://www.digitalpublicgoods.net/r/mozilla-common-voice-dataset</t>
  </si>
  <si>
    <t>Dataset for ML</t>
  </si>
  <si>
    <t>n</t>
  </si>
  <si>
    <t>"AI-powered information platform to combat misinformation and hate speech."</t>
  </si>
  <si>
    <t>https://www.digitalpublicgoods.net/r/iverify</t>
  </si>
  <si>
    <t>"It uses human-in-the-loop machine learning to match content so that anything already labeled false doesn't have to be reviewed again, improving efficiency."</t>
  </si>
  <si>
    <t>https://github.com/undp/iVerify-Apps/blob/main/README.md</t>
  </si>
  <si>
    <t>"Magasin is a cloud native open-source end-to-end data platform. Magasin enables organizations to perform automatic data ingestion, storage, analysis, ML/AI compute and visualization at scale."</t>
  </si>
  <si>
    <t>https://www.digitalpublicgoods.net/r/magasin</t>
  </si>
  <si>
    <t>"Uli is a browser plugin that provides tools for relief collective response to online gendered abuse. It is backed by open datasets of slurs and an ML model for redaction of gendered abuse in Indian languages."</t>
  </si>
  <si>
    <t>"The ML model is based on needs articulated by communities, rather than the priorities of powerful institutions. We are working to publish our methodology, annotation guidelines, datasets, and the limitations in the dataset."</t>
  </si>
  <si>
    <t>https://github.com/tattle-made/Uli/blob/main/README.md</t>
  </si>
  <si>
    <t>https://www.digitalpublicgoods.net/r/uli</t>
  </si>
  <si>
    <t>"Show results from a pre-trained tensorflow compatible model on a ROI of the slide."</t>
  </si>
  <si>
    <t>https://github.com/camicroscope/caMicroscope/blob/master/README.md</t>
  </si>
  <si>
    <t>https://github.com/camicroscope/tfjs-models</t>
  </si>
  <si>
    <t>List of classification and segmentation models</t>
  </si>
  <si>
    <t>Model repo, Github</t>
  </si>
  <si>
    <t>Website</t>
  </si>
  <si>
    <t>"Tanzania’s Ministry of Health launched its electronic Integrated Disease Surveillance and Response (e-IDSR) system based on DHIS2 to alert health teams to possible outbreaks. […] To address this challenge, the Ministry of Health, in collaboration with Tanzania’s University of Dar es Salaam (UDSM) DHIS2 Lab and its international partners, developed an AI-powered report triage system to enable more timely and efficient event-based surveillance."</t>
  </si>
  <si>
    <t>https://www.digitalpublicgoods.net/r/ersilia-model-hub</t>
  </si>
  <si>
    <t>"The Everwell Hub supports the entire digital cascade of care from diagnosis through treatment support and completion, including fully integrated modules for diagnostics (both lab generated results and AI diagnostic solutions)"</t>
  </si>
  <si>
    <t>https://www.digitalpublicgoods.net/r/everwell-hub</t>
  </si>
  <si>
    <t>"Support for Vector-based embeddings using ResNet models and Sentence Transformers.
Support for hash-based search using pHash.
Text extraction from images and indexing into the engine.
Entity extraction from text and images and indexing into the engine."</t>
  </si>
  <si>
    <t>https://github.com/tattle-made/feluda/blob/main/README.md</t>
  </si>
  <si>
    <t>"This project was initially conceived by Gitanjali Rao as a proof of concept that included a Natural Language Processing (NLP) model developed using Microsoft Azure's Language Understanding (LUIS) cloud-based engine"</t>
  </si>
  <si>
    <t>https://github.com/unicef/kindly/blob/main/README.md</t>
  </si>
  <si>
    <t>https://github.com/unicef/kindly/blob/main/modeling/KindlyModel.ipynb</t>
  </si>
  <si>
    <t>ML-based Notebook, including sklearn etc.</t>
  </si>
  <si>
    <t>"Our WhatsApp chatbot enables you to reach the right person at the right time with the right information."</t>
  </si>
  <si>
    <t>https://www.digitalpublicgoods.net/r/glific</t>
  </si>
  <si>
    <t>"This project aims to take Glific interactions to the next level by seamlessly integrating OpenAI's Language Model to generate contextually accurate responses from the custom knowledge base. This will be a standalone repository within the Glific ecosystem and will be hosted separately."</t>
  </si>
  <si>
    <t>Open LLM project repo</t>
  </si>
  <si>
    <t>https://github.com/glific/Open-LLM</t>
  </si>
  <si>
    <t>AI Category</t>
  </si>
  <si>
    <t>Active</t>
  </si>
  <si>
    <t>No mention of AI-related concepts</t>
  </si>
  <si>
    <t>https://github.com/Aam-Digital/ndb-core</t>
  </si>
  <si>
    <t>Github</t>
  </si>
  <si>
    <t>API to external AI-supported platform (SkillLab)</t>
  </si>
  <si>
    <t>https://github.com/qlt2020/doskaz</t>
  </si>
  <si>
    <t>https://www.digitalpublicgoods.net/r/advocacy-training-for-community-health-workers</t>
  </si>
  <si>
    <t>https://github.com/unige-geohealth/accessmod</t>
  </si>
  <si>
    <t>Githhub</t>
  </si>
  <si>
    <t>DPG Registry</t>
  </si>
  <si>
    <t>https://aims.fao.org/agrontology</t>
  </si>
  <si>
    <t>https://agritechobservatory.fao.org/</t>
  </si>
  <si>
    <t>https://data.apps.fao.org/catalog/dcat/agris</t>
  </si>
  <si>
    <t>https://github.com/global-asp/global-asp</t>
  </si>
  <si>
    <t>https://www.fao.org/agrovoc/</t>
  </si>
  <si>
    <t>https://github.com/devgateway/amp</t>
  </si>
  <si>
    <t>https://github.com/Altinn/altinn-studio</t>
  </si>
  <si>
    <t>https://github.com/apache/fineract</t>
  </si>
  <si>
    <t>https://github.com/google/android-fhir</t>
  </si>
  <si>
    <t>https://github.com/avniproject/</t>
  </si>
  <si>
    <t>https://github.com/Bahmni/bahmni-core</t>
  </si>
  <si>
    <t>https://github.com/UNICEFECAR/parenting-app-bebbo-mobile/; https://github.com/UNICEFECAR/parenting-app-bebbo-CMS/</t>
  </si>
  <si>
    <t>https://github.com/ohcnetwork/care</t>
  </si>
  <si>
    <t>https://github.com/BisaMhealth/BisaApp</t>
  </si>
  <si>
    <t>https://github.com/boxwise/boxtribute</t>
  </si>
  <si>
    <t>https://github.com/camicroscope/caMicroscope</t>
  </si>
  <si>
    <t>https://github.com/cboard-org/cboard</t>
  </si>
  <si>
    <t>https://epiverse-trace.github.io/cfr/</t>
  </si>
  <si>
    <t>https://github.com/Global-Opportunity-Lab/cider</t>
  </si>
  <si>
    <t>https://github.com/chamilo/chamilo-lms</t>
  </si>
  <si>
    <t>"This module trains a machine learning model to predict poverty from mobile phone features and uses that model to produce poverty predictions for all subscribers that have consented to the use of their data."</t>
  </si>
  <si>
    <t>https://global-policy-lab.github.io/cider-documentation/introduction/features.html</t>
  </si>
  <si>
    <t>Github Documentation</t>
  </si>
  <si>
    <t>https://app.openconceptlab.org/#/orgs/CIEL/sources/CIEL/</t>
  </si>
  <si>
    <t>https://github.com/intelligent-environments-lab/CityLearn</t>
  </si>
  <si>
    <t>https://github.com/ckan/ckan</t>
  </si>
  <si>
    <t>https://github.com/CodeYourFuture/curriculum; https://github.com/CodeYourFuture/immersive-go-course/</t>
  </si>
  <si>
    <t>https://github.com/codiplaykz/coditeach</t>
  </si>
  <si>
    <t>https://github.com/dimagi/commcare-hq</t>
  </si>
  <si>
    <t>https://github.com/medic/cht-core</t>
  </si>
  <si>
    <t>https://github.com/consuldemocracy/consuldemocracy</t>
  </si>
  <si>
    <t>https://github.com/ConnectForLife/</t>
  </si>
  <si>
    <t>https://github.com/ConvexityTeam</t>
  </si>
  <si>
    <t>https://github.com/Sunbird-cQube/cQube_Base</t>
  </si>
  <si>
    <t>https://github.com/creativecommons/cc-legal-tools-app/; https://github.com/creativecommons/cc-legal-tools-data</t>
  </si>
  <si>
    <t>https://app.crosscut.io/catchment-jobs?demo=true</t>
  </si>
  <si>
    <t>https://github.com/DalgoT4D/</t>
  </si>
  <si>
    <t>https://github.com/datakind/Data-Observation-Toolkit</t>
  </si>
  <si>
    <t>https://github.com/credebl</t>
  </si>
  <si>
    <t>Org describes an OSS data platform (Airbyte/DBT/Prefect-like pipeline). Crucially, repo dbt-ai-assist contains openai/ assets and scripts like generate_dbt_suggest.py / generate_dbt_test.py → explicit LLM assistance for dbt. Core platform repos (e.g., DDP backend) are standard Django/ETL—AI appears as an add-on</t>
  </si>
  <si>
    <t>https://github.com/decidim/decidim</t>
  </si>
  <si>
    <t>https://github.com/t18d/attested-conjectures</t>
  </si>
  <si>
    <t>https://github.com/decentralised-dataexchange/; https://github.com/decentralised-dataexchange/dexa-protocol; https://github.com/decentralised-dataexchange/dexa-sdk; https://github.com/decentralised-dataexchange/dexa-smartcontracts</t>
  </si>
  <si>
    <t>https://github.com/egovernments/DIGIT-OSS</t>
  </si>
  <si>
    <t>https://gitlab.com/dial/digital-impact-exchange</t>
  </si>
  <si>
    <t>https://github.com/GetDKAN/dkan</t>
  </si>
  <si>
    <t>n/a</t>
  </si>
  <si>
    <t>https://git.drupalcode.org/project/drupal</t>
  </si>
  <si>
    <t>Website not reachable as of 23.09.</t>
  </si>
  <si>
    <t>https://github.com/energyaccessexplorer</t>
  </si>
  <si>
    <t>https://github.com/epiverse-trace/epiCo</t>
  </si>
  <si>
    <t>https://www.fao.org/giews/earthobservation/access.jsp?lang=en</t>
  </si>
  <si>
    <t>https://digital.apps.fao.org/home</t>
  </si>
  <si>
    <t>https://data.apps.fao.org/catalog//iso/60b23906-f21a-49ef-8424-f3645e70264e</t>
  </si>
  <si>
    <t>https://www.fao.org/faolex/en/</t>
  </si>
  <si>
    <t>https://github.com/farmOS</t>
  </si>
  <si>
    <t>https://github.com/digitalgreenorg/farmstack-backend</t>
  </si>
  <si>
    <t>https://src.fedoraproject.org/</t>
  </si>
  <si>
    <t>https://github.com/tattle-made/feluda</t>
  </si>
  <si>
    <t>https://github.com/epiverse-trace/finalsize</t>
  </si>
  <si>
    <t>https://github.com/Food-Fortification/Food-Fortification-Quality-Management-System</t>
  </si>
  <si>
    <t>https://fpma.fao.org/giews/fpmat4/global/#/dashboard/home</t>
  </si>
  <si>
    <t>https://github.com/opengovsg/FormSG</t>
  </si>
  <si>
    <t>https://gitlab.fuss.bz.it/fuss</t>
  </si>
  <si>
    <t>https://github.com/glific/</t>
  </si>
  <si>
    <t>https://github.com/terraframe/geoprism-registry</t>
  </si>
  <si>
    <t>https://github.com/healthsites/healthsites</t>
  </si>
  <si>
    <t>https://github.com/intrahealth/gofr</t>
  </si>
  <si>
    <t>https://human-settlement.emergency.copernicus.eu/download.php</t>
  </si>
  <si>
    <t>https://github.com/globaleaks/globaleaks-whistleblowing-software</t>
  </si>
  <si>
    <t>https://github.com/WorldHealthOrganization/godata</t>
  </si>
  <si>
    <t>https://github.com/govdirectory/website</t>
  </si>
  <si>
    <t>https://github.com/GRS-DPG</t>
  </si>
  <si>
    <t>https://data.apps.fao.org/?lang=en</t>
  </si>
  <si>
    <t>https://github.com/Zenysis/Harmony</t>
  </si>
  <si>
    <t>https://github.com/hcw-home/</t>
  </si>
  <si>
    <t>https://github.com/Swasth-Digital-Health-Foundation/hcx-platform; https://github.com/Swasth-Digital-Health-Foundation/hcx-apps</t>
  </si>
  <si>
    <t>https://github.com/commitglobal/hiv-support</t>
  </si>
  <si>
    <t>https://github.com/unicef/hope</t>
  </si>
  <si>
    <t>https://github.com/hotosm/tasking-manager/</t>
  </si>
  <si>
    <t>https://github.com/BLSQ/iaso</t>
  </si>
  <si>
    <t>https://github.com/ifmeorg/ifme-languagetools; https://github.com/ifmeorg/ifme</t>
  </si>
  <si>
    <t>https://github.com/iHRIS/iHRIS</t>
  </si>
  <si>
    <t>https://github.com/cdsframework/ice</t>
  </si>
  <si>
    <t>https://github.com/opengovsg/isomer</t>
  </si>
  <si>
    <t>https://github.com/interfacerproject/interfacer-gui/tree/main</t>
  </si>
  <si>
    <t>https://github.com/investtools/ivttoken</t>
  </si>
  <si>
    <t>https://github.com/JanssenProject/jans</t>
  </si>
  <si>
    <t>https://github.com/jellow-aac/jellow-communicator-android</t>
  </si>
  <si>
    <t>https://github.com/jembi/JeMPI</t>
  </si>
  <si>
    <t>https://github.com/kobotoolbox/</t>
  </si>
  <si>
    <t>https://github.com/learningequality/kolibri</t>
  </si>
  <si>
    <t>https://github.com/suitenumerique/docs</t>
  </si>
  <si>
    <t>https://www.gleif.org/en/lei-data/gleif-api</t>
  </si>
  <si>
    <t>https://cilrap-lexsitus.org/</t>
  </si>
  <si>
    <t>https://git.libreoffice.org/core</t>
  </si>
  <si>
    <t>https://github.com/LibreSign/libresign/</t>
  </si>
  <si>
    <t>https://github.com/epiverse-trace/linelist</t>
  </si>
  <si>
    <t>https://github.com/nccrmoes/MSP-SAHAV</t>
  </si>
  <si>
    <t>https://github.com/mastodon/mastodon</t>
  </si>
  <si>
    <t>https://github.com/hsbc/mrpusa</t>
  </si>
  <si>
    <t>https://github.com/mautic/mautic</t>
  </si>
  <si>
    <t>https://github.com/ArgusoftOpen/medplat</t>
  </si>
  <si>
    <t>https://developer.yr.no/doc/GettingStarted/</t>
  </si>
  <si>
    <t>https://github.com/openMF?q=ph-ee</t>
  </si>
  <si>
    <t>https://github.com/openMF/android-client; https://github.com/openMF/web-app; https://github.com/openMF/community-app; https://github.com/openMF/mifos-mobile</t>
  </si>
  <si>
    <t>https://github.com/mojaloop/central-ledger</t>
  </si>
  <si>
    <t>https://github.com/mosip/</t>
  </si>
  <si>
    <t>https://github.com/undp/undp-national-carbon-registry</t>
  </si>
  <si>
    <t>https://github.com/a2i-dpg/skills-and-certification</t>
  </si>
  <si>
    <t>https://notesmaster.com/library/guest</t>
  </si>
  <si>
    <t>https://github.com/getodk</t>
  </si>
  <si>
    <t>https://github.com/Oky-period-tracker/periodtracker</t>
  </si>
  <si>
    <t>https://github.com/commitglobal/housing-platform</t>
  </si>
  <si>
    <t>https://github.com/GovTechSG/oobee-desktop</t>
  </si>
  <si>
    <t>https://github.com/OpenConceptLab/</t>
  </si>
  <si>
    <t>https://github.com/devgateway/ocportal</t>
  </si>
  <si>
    <t>https://github.com/openfoodfacts/; https://huggingface.co/openfoodfacts</t>
  </si>
  <si>
    <t>https://github.com/google/android-fhir; https://github.com/google/fhir-data-pipes; https://github.com/google/fhir-gateway</t>
  </si>
  <si>
    <t>https://github.com/opensupplyhub/open-supply-hub</t>
  </si>
  <si>
    <t>https://github.com/protontypes/open-sustainable-technology</t>
  </si>
  <si>
    <t>https://github.com/OpenTermsArchive/</t>
  </si>
  <si>
    <t>https://github.com/pryv/open-pryv.io</t>
  </si>
  <si>
    <t>https://sourceforge.net/p/open-clinic/code/ci/master/tree/</t>
  </si>
  <si>
    <t>https://github.com/opencrvs/opencrvs-core</t>
  </si>
  <si>
    <t>https://github.com/DIGI-UW/OpenELIS-Global-2</t>
  </si>
  <si>
    <t>https://github.com/open-ews/open-ews</t>
  </si>
  <si>
    <t>https://github.com/AppertaFoundation/openeyes</t>
  </si>
  <si>
    <t>https://github.com/openfisca</t>
  </si>
  <si>
    <t>https://github.com/OpenFn/lightning</t>
  </si>
  <si>
    <t>https://github.com/openg2p</t>
  </si>
  <si>
    <t>https://github.com/BLSQ/openhexa</t>
  </si>
  <si>
    <t>https://github.com/openimis</t>
  </si>
  <si>
    <t>https://github.com/OpenMandrivaSoftware</t>
  </si>
  <si>
    <t>https://github.com/openmrs/openmrs-core</t>
  </si>
  <si>
    <t>https://github.com/MSH/OpenRIMS</t>
  </si>
  <si>
    <t>https://github.com/MSH/OpenRIMS-PV</t>
  </si>
  <si>
    <t>https://github.com/OpenSPP/openspp-modules</t>
  </si>
  <si>
    <t>https://github.com/opensrp/fhircore</t>
  </si>
  <si>
    <t>https://github.com/OpenTeleRehab/; https://github.com/OpenTeleRehab/therapist-web-app; https://github.com/OpenTeleRehab/patient-service</t>
  </si>
  <si>
    <t>https://osmfoundation.org/wiki/How_To_Get_OpenStreetMap_Data</t>
  </si>
  <si>
    <t>https://orthanc.uclouvain.be/hg/</t>
  </si>
  <si>
    <t>https://github.com/potlock</t>
  </si>
  <si>
    <t>https://github.com/Scribble-Works/preptime-api ; https://github.com/Scribble-Works/preptime-analytics</t>
  </si>
  <si>
    <t>https://github.com/primeroIMS/primero</t>
  </si>
  <si>
    <t>https://github.com/WFP-VAM/prism-app</t>
  </si>
  <si>
    <t>https://gitlab.com/pcmt/pcmt</t>
  </si>
  <si>
    <t>https://github.com/opengisch/QField</t>
  </si>
  <si>
    <t>https://github.com/qgis/QGIS</t>
  </si>
  <si>
    <t>https://github.com/FASP-QAT</t>
  </si>
  <si>
    <t>https://github.com/ssi-quarkid</t>
  </si>
  <si>
    <t>https://github.com/okfn-brasil/querido-diario</t>
  </si>
  <si>
    <t>https://github.com/esatya/rahat</t>
  </si>
  <si>
    <t>https://github.com/rapidpro/rapidpro</t>
  </si>
  <si>
    <t>https://github.com/shoqata-organika/register-for-organic-agriculture</t>
  </si>
  <si>
    <t>https://humanrightsmeasurement.org/download-the-dataset-2/</t>
  </si>
  <si>
    <t>https://git.rockylinux.org/explore</t>
  </si>
  <si>
    <t>https://github.com/safeyou-space/safeyou</t>
  </si>
  <si>
    <t>https://github.com/santedb/santedb-server</t>
  </si>
  <si>
    <t>https://ic.imagery1.arcgis.com/arcgis/rest/services/Sentinel2_10m_LandCover/ImageServer</t>
  </si>
  <si>
    <t>https://github.com/simpledotorg/simple-server</t>
  </si>
  <si>
    <t>https://github.com/somleng</t>
  </si>
  <si>
    <t>https://github.com/Medtronic-LABS</t>
  </si>
  <si>
    <t>https://storyweaver.org.in/en/stories</t>
  </si>
  <si>
    <t>https://github.com/Sunbird-Ed</t>
  </si>
  <si>
    <t>https://github.com/Sunbird-RC/sunbird-rc-core</t>
  </si>
  <si>
    <t>https://github.com/Sunbird-Saral/Project-Saral</t>
  </si>
  <si>
    <t>https://github.com/Sunbird-Serve/serve-v0</t>
  </si>
  <si>
    <t>https://github.com/SORMAS-Foundation/SORMAS-Project</t>
  </si>
  <si>
    <t>https://github.com/openmined/pysyft</t>
  </si>
  <si>
    <t>https://github.com/synthetichealth/synthea</t>
  </si>
  <si>
    <t>https://github.com/tazama-lf</t>
  </si>
  <si>
    <t>https://gitlab.com/landportal/landportal.org</t>
  </si>
  <si>
    <t>https://github.com/the-turing-way/the-turing-way</t>
  </si>
  <si>
    <t>https://github.com/ushahidi/platform/; https://github.com/ushahidi/platform-client-mzima</t>
  </si>
  <si>
    <t>https://gitlab.torproject.org/tpo/core/tor</t>
  </si>
  <si>
    <t>https://www.toaep.org/about</t>
  </si>
  <si>
    <t>https://github.com/TradeTrust/token-registry</t>
  </si>
  <si>
    <t>https://github.com/openkfw/TruBudget</t>
  </si>
  <si>
    <t>https://github.com/truenas</t>
  </si>
  <si>
    <t>https://github.com/typo3/typo3</t>
  </si>
  <si>
    <t>https://iap.unido.org/</t>
  </si>
  <si>
    <t>https://github.com/upyog/UPYOG</t>
  </si>
  <si>
    <t>https://github.com/EL-BID/urbanpy</t>
  </si>
  <si>
    <t>https://github.com/huridocs/uwazi</t>
  </si>
  <si>
    <t>https://gitlab.com/statwig-public/theledger</t>
  </si>
  <si>
    <t>https://gitlab.nibio.no/VIPS</t>
  </si>
  <si>
    <t>https://github.com/johnsonandjohnson/vxnaid</t>
  </si>
  <si>
    <t>https://data.apps.fao.org/wapor/?lang=en</t>
  </si>
  <si>
    <t>https://github.com/commitglobal/website-factory</t>
  </si>
  <si>
    <t>https://www.wikipedia.org/</t>
  </si>
  <si>
    <t>https://github.com/wikirate/wikirate/</t>
  </si>
  <si>
    <t>https://github.com/nordic-institute/X-Road</t>
  </si>
  <si>
    <t>https://gitlab.com/xcapit-foss/app</t>
  </si>
  <si>
    <t>https://github.com/cboard-org/cboard-ai-engine</t>
  </si>
  <si>
    <t>Github folder</t>
  </si>
  <si>
    <t>"This engine powers the Cboard AI builder, designed to generate content suggestions for communication boards and create new pictograms as necessary. With a simple prompt, it will generate a list of suggestions that can be used to create an AAC board. Each suggestion will be associated with a text description and a list of images. The images can be retrieved from ARASAAC or Global Symbols, and the text descriptions are generated using the OpenAI Node API Library."</t>
  </si>
  <si>
    <t>AI for policy tool</t>
  </si>
  <si>
    <t>https://www.datatopolicy.org/ai-for-policy</t>
  </si>
  <si>
    <t>https://dhis2.org/ai-driven-alert-triage-tanzania</t>
  </si>
  <si>
    <t>"https://github.com/Bioverse-Labs/deep-learning" not reachable as of 23.09.2025</t>
  </si>
  <si>
    <t>"https://github.com/tattle-made/Uli/tree/main/ogbv-ml-rest" which hosted access to ML can't be reached as of 23.09.2025</t>
  </si>
  <si>
    <t>y</t>
  </si>
  <si>
    <t>https://dpgdata.doptor.gov.bd/documentation/v1</t>
  </si>
  <si>
    <t>https://hg.savannah.gnu.org/hgweb/health/</t>
  </si>
  <si>
    <t>Inactive</t>
  </si>
  <si>
    <t>Maintenance</t>
  </si>
  <si>
    <t>Reasoning</t>
  </si>
  <si>
    <t>"One example use case of FarmStack is integrating it with an AI ChatBot. After uploading the content onto FarmStack (the content can be about farming techniques, weather updates, market prices, etc.), the AI Bot acts as a tool for farmers to get immediate responses to their queries (related to the uploaded content). The 'Artificial Intelligence' needed for the processing of the content at the backend is handled by FarmStack."</t>
  </si>
  <si>
    <t>https://github.com/digitalgreenorg/farmstack-backend/blob/main/README.md</t>
  </si>
  <si>
    <t>Robotoff - Generating Insights using AI</t>
  </si>
  <si>
    <t>Explicitly mentions backend AI handling provided by DPG component</t>
  </si>
  <si>
    <t>https://github.com/openfoodfacts/openfoodfacts-ai/</t>
  </si>
  <si>
    <t>Specific AI page/tool available</t>
  </si>
  <si>
    <t>https://github.com/decidim/decidim/blob/develop/decidim-ai/README.md</t>
  </si>
  <si>
    <t>Regularly maintains a specific "Decidim AI" module on Github</t>
  </si>
  <si>
    <t>"The Decidim::Ai is a library that aims to provide Artificial Intelligence tools for Decidim. This plugin has been initially developed aiming to analyze the content and provide spam classification using Naive Bayes algorithm. All AI related functionality provided by Decidim should be included in this same module."</t>
  </si>
  <si>
    <t>Explicitly mentions AI fucntionality</t>
  </si>
  <si>
    <t>Includes classic Python ML-libraries</t>
  </si>
  <si>
    <t>Explicitly mentions AI functionality</t>
  </si>
  <si>
    <t>Explicitly mentions ML/AI libraries (Speech recognition)</t>
  </si>
  <si>
    <t>"AI Public Goods Funding bos components for on-chain governance forum forked from NEAR DevHub"</t>
  </si>
  <si>
    <t>Explicit mention of separate AI functionality</t>
  </si>
  <si>
    <t>Explicit mentions ML/AI functionalities (OCR)</t>
  </si>
  <si>
    <t>"Project Saral should be viewed as an OCR-plus application that is capable of doing OCR and can also understand the structure of the physical input."</t>
  </si>
  <si>
    <t>https://github.com/Sunbird-Saral/Project-Saral/blob/main/README.md</t>
  </si>
  <si>
    <t>https://github.com/PotLock/aipgf-bos/blob/main/README.md</t>
  </si>
  <si>
    <t>Python model for forecasting, contains ML after checking</t>
  </si>
  <si>
    <t>Use of ML models</t>
  </si>
  <si>
    <t>Explicitly mentions ML functionality</t>
  </si>
  <si>
    <t>Explicitly mentions file generation from ML</t>
  </si>
  <si>
    <t>Mentions dataset mainly meant as a basis for ML</t>
  </si>
  <si>
    <t>Expliitly mentions enablement of ML/AI compute</t>
  </si>
  <si>
    <t>Explicitly mentions use of an ML model</t>
  </si>
  <si>
    <t xml:space="preserve">Description of ML model used </t>
  </si>
  <si>
    <t>Mentions tensorflow (classic ML library) model</t>
  </si>
  <si>
    <t>Mentions ML models</t>
  </si>
  <si>
    <t>Description of DPG being used and expanded for AI functionality</t>
  </si>
  <si>
    <t>Mentions hosting of AI models</t>
  </si>
  <si>
    <t>Mentions vector embeddings, transformers as well as engine</t>
  </si>
  <si>
    <t>Explicitly mentions AI functionality (NLP)</t>
  </si>
  <si>
    <t>Explicitly mentions AI functionality (Chatbot)</t>
  </si>
  <si>
    <t>Mentions separate hosting of OpenAI Language Model</t>
  </si>
  <si>
    <t>Explicitly mentions ML model</t>
  </si>
  <si>
    <t>Type</t>
  </si>
  <si>
    <t>Core</t>
  </si>
  <si>
    <t>Enabler</t>
  </si>
  <si>
    <t>Adjacent</t>
  </si>
  <si>
    <t>Relevant (Y/N)</t>
  </si>
  <si>
    <t>Embedded</t>
  </si>
  <si>
    <t>"Dalgo's AI Data Analysis allows you to leverage AI and ask Dalgo questions about data that's stored in your warehouse. Explore a range of possibilities; generate quick insights on your data, learn more about the data quality of your dataset, or even summarise qualitative data!"</t>
  </si>
  <si>
    <t>Explicit mentions ML/AI functionalities</t>
  </si>
  <si>
    <t>"an AI-powered platform for climate-resilient agriculture. DiCRA offers open access to vital geospatial datasets collated from global data scientists and citizen scientists. DiCRA's pattern detection and data insights empower evidence-driven policymaking and future-fit strategies for resilient food systems worldwide."</t>
  </si>
  <si>
    <t>https://www.undp.org/blog/ensuring-positive-people-focused-futures-through-ai</t>
  </si>
  <si>
    <t>https://dalgot4d.github.io/dalgo_docs/docs/intro</t>
  </si>
  <si>
    <t>Date added</t>
  </si>
  <si>
    <t>"DPG since" Field based on only entry in DPG Registry database: creation of the DPG</t>
  </si>
  <si>
    <t>See inclusion list</t>
  </si>
  <si>
    <t>https://github.com/drivendataorg/deon</t>
  </si>
  <si>
    <t>https://github.com/bookbot-hive/k2-indonesian-asr</t>
  </si>
  <si>
    <t>https://github.com/undp/iVerify-Apps</t>
  </si>
  <si>
    <t>github.com/unicef/kindly</t>
  </si>
  <si>
    <t>github.com/unicef/magasin</t>
  </si>
  <si>
    <t>commonvoice.mozilla.org/en/datasets</t>
  </si>
  <si>
    <t>github.com/kvklrao/Avyantra2023</t>
  </si>
  <si>
    <t>github.com/Bioverse-Labs; github.com/Bioverse-Labs/deep-learning; github.com/Bioverse-Labs/forest-map-app</t>
  </si>
  <si>
    <t>github.com/Cirrolytix/aedes_dpg</t>
  </si>
  <si>
    <t>github.com/tattle-made/Uli</t>
  </si>
  <si>
    <t>github.com/drivendataorg/zamba</t>
  </si>
  <si>
    <t>Document</t>
  </si>
  <si>
    <t>"PII data is NOT collected NOT stored and NOT distributed."</t>
  </si>
  <si>
    <t>"PII data is collected and stored but NOT distributed."</t>
  </si>
  <si>
    <t>"PII data is collected but NOT stored and NOT distributed."</t>
  </si>
  <si>
    <t>"PII data is collected and stored and distributed."</t>
  </si>
  <si>
    <t>PII Collection - Documentation</t>
  </si>
  <si>
    <t>Evidence Type</t>
  </si>
  <si>
    <t>Claim/Snippet</t>
  </si>
  <si>
    <t>Date accessed</t>
  </si>
  <si>
    <t>Privacy Policy</t>
  </si>
  <si>
    <t>https://camicroscope.org/privacy.html</t>
  </si>
  <si>
    <t>Non-technical</t>
  </si>
  <si>
    <t>"We may collect the following data:
Your IP address.
Your contact information and email address.
Other information such as interests and preferences.
Data profile regarding your online behavior.
Any annotations or form responses you provide."</t>
  </si>
  <si>
    <t>"By using our website, you agree to allow cookies to collect data regarding your online behavior."</t>
  </si>
  <si>
    <t>"When ordering or registering on our site, as appropriate, you may be asked to enter your name, email address, age or other details to help you with your experience."</t>
  </si>
  <si>
    <t>https://www.cboard.io/de/privacy/</t>
  </si>
  <si>
    <t>"Cider works with individual mobile phone data, which is personally identifiable information. The use of cider must be in compliance with local data protection laws."</t>
  </si>
  <si>
    <t>https://global-policy-lab.github.io/cider-documentation/introduction/privacy.html</t>
  </si>
  <si>
    <t>https://www.aicrowd.com/challenges/neurips-2022-citylearn-challenge/challenge_rules</t>
  </si>
  <si>
    <t>"Organizers may use cookies and/or collect IP addresses for the purpose of implementing or exercising its rights or obligations under the Rules, for information purposes, identifying your location, including without limitation for the purpose of redirecting you to the appropriate geographic website, if applicable, or for any other lawful purpose in accordance with the AIcrowd Privacy Policy. [...] Organizers only require name and email address to be submitted for you to participate in this Challenge for its uses as outlined in this Section 19."</t>
  </si>
  <si>
    <t>https://dalgo.org/privacy-policy/</t>
  </si>
  <si>
    <t>"The websites https://dalgo.org/ and https://dashboard.dalgo.in/ track basic information about their visitors. This information includes, but is not limited to, IP addresses, browser details, timestamps and referring pages. None of this information can personally identify specific visitors to these websites. The information is tracked for routine administration and maintenance purposes. While using our websites, we may ask you to provide us with certain personally identifiable information that can be used to contact or identify you. Personally identifiable information may include, but is not limited to, your email address, other information (“Personal Information”)."</t>
  </si>
  <si>
    <t>Copyright and Terms of Use</t>
  </si>
  <si>
    <t>https://www.datatopolicy.org/copyright-and-terms-of-use</t>
  </si>
  <si>
    <t>"In general, you can browse the UNDP site without telling us who you are or revealing any personal information about yourself.  The only information we gather during general browsing is from standard server logs.  These include your IP (Internet Protocol) address, domain name, browser type, operating system, and information such as the web site that referred you to us, the files you downloaded, the pages you visit, and the dates/times of those visits. [...]cIf you register for a newsletter, log on to certain UNDP sites, request information, provide feedback, apply for a job, join a discussion group or join an electronic mailing list, you will be asked to provide personal information such as your name, postal address and e-mail address.  This information is collected only with your knowledge and permission and is kept in various UNDP databases.  If you are making a donation, you may be asked to provide your credit card details.   
UNDP sites with specific requirements to collect personal information may publish a privacy policy specific for that site.  In these cases, the site-specific policies will be complementary to this general UNDP privacy policy.
Joining electronic discussion groups may mean that other participants of the discussion group (including non-UNDP employees) will see personal information that you have volunteered.  For open discussion groups, this information will be public.</t>
  </si>
  <si>
    <t xml:space="preserve">"Each HTTP request sends the IP address and user agent to the server, so that's what they use, generating an identifier that changes daily using the visitor's IP address and user agent. To anonymise this data, it is passed through a hash function with a rotating salt. [...] When people contact Us by the contact form, email or similar communication means, we will automatically collect the following information: name, entity, email address and the content of the User message [...] </t>
  </si>
  <si>
    <t>https://decidim.org/privacy-policy/</t>
  </si>
  <si>
    <t>https://www.drivendata.org/privacypolicy/</t>
  </si>
  <si>
    <t>"The nature of the data collected in DHIS2 has also become more sensitive. Increasingly a DHIS2 database will contain a significant amount of personal identifiable information (PII) or personal data. This can be patient demographic data, but also health worker personal data (email, telephone, address, messages) captured as User information. Adequate measures need to be in place to protect the confidentiality of such data and the privacy of the persons involved."</t>
  </si>
  <si>
    <t>Security Considerations</t>
  </si>
  <si>
    <t>https://docs.dhis2.org/en/implement/implementing-dhis2/security-considerations.html</t>
  </si>
  <si>
    <t>"Ersilia collects the following data: Personal identification information (name, email address)"</t>
  </si>
  <si>
    <t>https://ersilia.gitbook.io/ersilia-book/about-us/ersilia-privacy-notice</t>
  </si>
  <si>
    <t>"As you use our Services, you may provide us with a user name and password, as well as basic information such as your name and phone number. For patients on the Platform, data such as their medical history, diagnosed conditions, treatment plans, and so on, are collected and stored on the Platform. Patients can also upload information about their medication adherence, for example, by marking which doses were taken or by uploading videos of themselves ingesting prescribed medications."</t>
  </si>
  <si>
    <t>https://www.everwell.org/privacy-policy</t>
  </si>
  <si>
    <t>"Personal Information we may receive from you (please keep in mind that the type of information we collect is dependent on the product concerned, and we encourage you to review any Privacy Policy Highlights, if applicable):
Name &amp; Contact Details: Such as first and last name, title, prefix, email address, and telephone number.
Identity information: Such as driver’s licenses, identity cards, government issued IDs, passports, or professional or trade-related information and proof of residential address.
Demographic Information: Such as gender.
Organization Contact Details: Such as name of employer or affiliation, job title, organization email address, organization telephone number, organization postal address, country of business.
User Content: Such as reviews about our technology products and trainings that we have provided to you, and other content you may create or share with us during our relationship, including posts on Our Social Media.
Preferences: Such as language, interests, and other feedback/preferences that you might express during your use of our Services.
Marketing Data: Such as your choices regarding our newsletters, surveys, and other marketing/advertising displayed or provided to you, and preferred methods of such promotional communication.
Relationship History: Such as details of your communications, donations, or interactions with us.
Visitor and Event Information: Such as dietary restrictions, travel, and accommodation details, issued identification pass to access the premises, and other details specific to a particular in-person training that you share with us.
User Photographs and Videos: Such as photos and videos submitted by you while using our Services.
Recordings: Such as audio and/or video recordings of online or in-person trainings.
IP Address: Your IP address is automatically assigned to your computer by your Internet Service Provider.  An IP address may be identified and logged automatically in our server log files whenever a user accesses the Services, along with the time of the visit and the page(s) that were visited.  Collecting IP addresses is standard practice and is done automatically by many websites, applications, and other services.  We use IP addresses for purposes such as calculating usage levels, diagnosing server problems, and administering the Services.  We may also derive your approximate location from your IP address when using our website."</t>
  </si>
  <si>
    <t>https://digitalgreen.org/privacy-policy/</t>
  </si>
  <si>
    <t>"At present, there is no Tattle service/tool that requires us to collect of personal data such as a phone number to provide a service. We have a beta for an Android app, but at present, it is not being launched for wide release.
When requesting access to datasets, individuals are asked to share their email and optionally, institutional affiliations. We need the email to provide access to data. The institutional affiliation is to help us understand how the data is being used.
One of Tattle's goals is to create an archive of content circulated on chat apps. In this data collection, Tattle might capture social media posts that have phone numbers or other personal data of individuals. We anonymize all data before working with it. For personal data inside posts, we obfuscate the personal details in any publication. We share this data with academics on the assumption that their own IRB reviews also prescribe similar anonymization procedures."</t>
  </si>
  <si>
    <t>https://tattle.co.in/privacy-policy/</t>
  </si>
  <si>
    <t>"When you sign up with us we collect the following information from you.
Phone Number
Email Address
Password
Organization Information
Billing Information
We may also collect other pieces of information when you call our customer support channels so we can provide optimal support."</t>
  </si>
  <si>
    <t>https://glific.org/privacy-policy/</t>
  </si>
  <si>
    <t>https://www.bookbot.id/kebijakan-pribadi</t>
  </si>
  <si>
    <t>"Processed personal data: Authorisation for Apple speech recognition server; camera authorisation (without storage or recording); microphone authorisation; photo library authorisation; authorisation for social media accounts; storage authorisation." (Translated from Indonesian)</t>
  </si>
  <si>
    <t>Not reachable as of 15.10.</t>
  </si>
  <si>
    <t>"UNICEF uses personal data in a range of activities, whether it is to carry out beneficiaries’ needs assessments, to implement child protection programmes, to tailor supporters’ engagement or to manage human and supply resources. Examples of personal data include data that directly identify an individual (e.g. a name, a date of birth) or combinations of data (e.g. demographic data, location data) that make the individual identifiable."</t>
  </si>
  <si>
    <t>https://www.unicef.org/supply/documents/unicef-policy-personal-data-protection</t>
  </si>
  <si>
    <t>"Demographic data. You can optionally send us information such as your accent, age, and gender. This helps us and other researchers improve and create speech-to-text technology and tools.
Account data. You do not need to create an account to use Common Voice. If you decide to create an account, you will need to create a Mozilla account here, and we receive your username and avatar, if you submit one. Your use of Mozilla accounts is governed by the Mozilla Accounts Terms of Service and Mozilla Accounts Privacy Notice. Your email address is associated with your demographic and interaction data but is not shared to the public. We display leaderboards showing the number of recordings users make. You have the option whether or not you wish to appear on the leaderboards. You can delete your account at any time and your username and email will be removed. You can delete your Mozilla aaccount at any time and your username and email will be removed.
Email. If you participate in the Alpha or Beta testing for the Common Voice Spontaneous Speech project, you must provide your email address so that we can send you a link to log in to participate in the Common Voice Spontaneous Speech project. At any time, you may create a Mozilla account (as set forth above). If you do not create a Mozilla account upon completion of the Alpha or Beta testing, we will delete your email address within two weeks after the completion of each testing program. Certain types of participation in Beta testing (e.g. for ultra low resource languages) may not require an email login.
Newsletter. You can subscribe to our newsletter, in which case we receive your email address. You can unsubscribe at any time and your email will be removed from the newsletter distribution list.
Voice Recordings. Voice recordings, along with any optionally provided demographic data, may be available in the Common Voice databases for public consumption and use under a Creative Commons Zero License (CC0).
Text. If you submit written sentences, we may also make those available in the Common Voice databases for public consumption under CC0, in accordance with all our samples. We will not associate these sentences with the demographic data you submit.
Interaction data. We use Google Analytics to better understand how you interact with the Common Voice app or website. For example, we may use cookies to track de-identified information such as the number of voice samples you record or listen to, interactions with buttons and menus, and session length.
Technical data. We use Google Analytics to better understand how you interact with the Common Voice app or website. For example, we may use cookies to track de-identified information such as the number of voice samples you record or listen to, interactions with buttons and menus, and session length. We also collect the URL and title of the Common Voice pages you visit. To consistently improve the Common Voice experience, we collect information about browser type and version, viewport size, and screen resolution. This allows us to understand how people interact with Common Voice so we can improve it. We also collect your location, and the language setting in your browser to make sure it looks right for you. If you’d prefer to opt out of Google Analytics data collection, you can install the Google Analytics Opt-out Browser Add-on, which stops data transmission to Google Analytics."</t>
  </si>
  <si>
    <t>https://commonvoice.mozilla.org/en/privacy</t>
  </si>
  <si>
    <t>"Based on your consent and in order to help you sort and identify products corresponding to your dietary preferences, the following user preferences, which may relate to your health, are collected:
Nutritional quality (amount of salt, sugar, fat, fatty acid);
Food processing;
Allergens and ingredients contained in foods;
This data is stored in your browser and mobile applications (secure storage). They are neither communicated nor transmitted to third parties. "</t>
  </si>
  <si>
    <t>https://world.openfoodfacts.org/privacy</t>
  </si>
  <si>
    <t>"We do not collect any personally identifiable information (PII) about you. This means we do not collect your name, email address, physical address, phone number, or any other information that could be used to identify you personally."</t>
  </si>
  <si>
    <t>https://docs.google.com/document/d/1dMUEInG0RwIaTQeAvsO0YKcsNUNzeN8PPKP9SwE8CeQ/edit?tab=t.0</t>
  </si>
  <si>
    <t>"b. We collect the following information from you when you use or signup on our App:
Name, Email address, Phone no, Identify proof, Hospital Details
c. We do collect the following sensitive information when you use or signup on our App:
Health data of the Neonate and Mother related to Sepsis
d. When you visit our App, some information is automatically collected. This may include information such as the type of mobile device, Operating System (OS) running on your device, Internet Protocol (IP) address, unique user ID, access times, device type, and language. We also collect information about how you use Our products or services."</t>
  </si>
  <si>
    <t>https://github.com/kvklrao/Avyantra_Presco_Project/blob/main/Privacy%20Policy</t>
  </si>
  <si>
    <t>https://www.bioverse.io/privacy-policy</t>
  </si>
  <si>
    <t>"Certain visitors' websites choose to interact with our website in ways that require us to collect personally-identifying information. The amount and type of information that we gather depends on the nature of the transaction. We may ask visitors to sign-up for a section of the site that require a username and password."</t>
  </si>
  <si>
    <t>https://aedesproject.org/privacy/</t>
  </si>
  <si>
    <t>"We collect the following types of information (hereinafter collectively referred to as the information):
If you’re just browsing the Website, we collect the same basic information that most websites collect through the use of common internet technologies, such as cookies. The information we collect about all Users of our Website includes anonymous User behaviour such as User’s country of origin, device type, pages viewed, buttons clicked, and the date and time of this activity. 
No personal information or personally identifiable information of the User nor sensitive personal information of the User is collected by us unless you choose to provide us with your information such as your name, email address, GitHub user credentials, or any other details you provide by:
emailing us at info@sunbird.org,
Contacting us via the Website
Registering for our webinars, and/or
Engaging with the Sunbird community through the use of your GitHub account. 
The Sunbird AI Assistant, a chatbot for Sunbird-related queries, does not collect or store any information, including personal information or personally identifiable information nor sensitive personal information of the User. It only gathers voluntary User feedback on response effectiveness, which is used solely for performance improvement."</t>
  </si>
  <si>
    <t>https://sunbird.org/privacy-policy</t>
  </si>
  <si>
    <t>"There are other features that require some information to be communicated to Tattle’s servers. Where this is the case, we lean towards data minimization. We only collect information that is strictly necessary for the implementation of the feature.
These are the features that require some personally identifiable information to be collected:
Archiving over email:
This feature requires an email on which the archived posts are sent. This email as well as the posts that are sent to this email are also stored on Tattle’s servers.The default functionality of the archiving feature is to archive locally and not send it over email.
Crowdsourcing Aid:
This feature needs a list of emails to which the Tweet link, on which action is requested, is sent. These emails as well as tweet links that are sent to the list of emails are stored on Tattle servers.
On resetting your account, the data for the account is deleted within a month. Otherwise, the data is stored indefinitely."</t>
  </si>
  <si>
    <t>https://uli.tattle.co.in/privacy-policy/</t>
  </si>
  <si>
    <t>"We collect Personal Information when, for example, you register for or subscribe to certain Services; create a profile; participate in a competition; take a survey; visit our DrivenData Online Services; use an interactive feature; participate in a community forum; or contact customer service."</t>
  </si>
  <si>
    <t>Available</t>
  </si>
  <si>
    <t>Not available</t>
  </si>
  <si>
    <t>"https://www.undp.org/blog/ensuring-positive-people-focused-futures-through-ai" claims that the tool is AI-powered, components could not be found in Github and website "https://dicra.undp.org.in/" was not reachable as of 23.09.2025
Dicra doesnt use ist own privacy policy, instead it links to the UNSCEBs privacy policy from 2018: https://unsceb.org/personal-data-protection-and-privacy-principles</t>
  </si>
  <si>
    <t>Difficulty Overall</t>
  </si>
  <si>
    <t>FRE</t>
  </si>
  <si>
    <t>FKGL</t>
  </si>
  <si>
    <t>Gunning Fog</t>
  </si>
  <si>
    <t>SMOG</t>
  </si>
  <si>
    <t>Privacy policy links to "bookbot" policy, only available in indonesian, translated into english using ChatGPT</t>
  </si>
  <si>
    <t>Composite Score</t>
  </si>
  <si>
    <t>Normalized FRE</t>
  </si>
  <si>
    <t>Normalized FKGL</t>
  </si>
  <si>
    <t>Normalized Gunning Fog</t>
  </si>
  <si>
    <t>Normalized SMOG</t>
  </si>
  <si>
    <t>Sector</t>
  </si>
  <si>
    <t>Healthcare</t>
  </si>
  <si>
    <t>Education &amp; Learning</t>
  </si>
  <si>
    <t>Agriculture &amp; Food</t>
  </si>
  <si>
    <t>Environment &amp; Climate</t>
  </si>
  <si>
    <t>Finance &amp; Payments</t>
  </si>
  <si>
    <t>Public Sector</t>
  </si>
  <si>
    <t>CityLearn is an open source OpenAI Gym environment for the implementation of advanced control systems, e.g., MPC, and Multi-Agent Reinforcement Learning (RL) for building energy coordination and demand response in several buildings. CityLearn allows easy implementation agents in a multi-agent setting.</t>
  </si>
  <si>
    <t>Data &amp; Analytics</t>
  </si>
  <si>
    <t>Humanitarian &amp; Non-profit</t>
  </si>
  <si>
    <t>Terms of Service</t>
  </si>
  <si>
    <t>DPG Registry Claim</t>
  </si>
  <si>
    <t>Privacy Policy Claim</t>
  </si>
  <si>
    <t>Alignment</t>
  </si>
  <si>
    <t>Claims by Document/Contradictions</t>
  </si>
  <si>
    <t>Document version/Date</t>
  </si>
  <si>
    <t>PII collection disclosure</t>
  </si>
  <si>
    <t>PII required for core use</t>
  </si>
  <si>
    <t>Optional PII handling</t>
  </si>
  <si>
    <t>Data collection purpose specification</t>
  </si>
  <si>
    <t>Data retention</t>
  </si>
  <si>
    <t>Third-party sharing</t>
  </si>
  <si>
    <t>Legal framework</t>
  </si>
  <si>
    <t>Responsibility allocation</t>
  </si>
  <si>
    <t>Implicit/Unclear</t>
  </si>
  <si>
    <t>Direct, Indirect</t>
  </si>
  <si>
    <t>Not disclosed</t>
  </si>
  <si>
    <t>Opt-Out</t>
  </si>
  <si>
    <t>Developer</t>
  </si>
  <si>
    <t>Explicit/Clear</t>
  </si>
  <si>
    <t>Not applicable</t>
  </si>
  <si>
    <t>Mentions Opt-out policy for Cookies</t>
  </si>
  <si>
    <t>Indirect</t>
  </si>
  <si>
    <t>Required</t>
  </si>
  <si>
    <t>Deployer</t>
  </si>
  <si>
    <t>Generic or specific policy</t>
  </si>
  <si>
    <t>Specific</t>
  </si>
  <si>
    <t>Generic</t>
  </si>
  <si>
    <t>Direct</t>
  </si>
  <si>
    <t>Optional</t>
  </si>
  <si>
    <t>The document is not a privacy policy in the classical sense, instead it mentions that the DPG follows the generic UNDP Data Protection and Privacy Policy, there are only very generic rules around "visiting UNDP websites" provided</t>
  </si>
  <si>
    <t>No PII collected</t>
  </si>
  <si>
    <t>Type of required PII collected</t>
  </si>
  <si>
    <t>Privacy Policy (Translated)</t>
  </si>
  <si>
    <t>Opt-Out mechanism does not specify for which kind of data you can specifically opt out of and if it affects your ability to use core functions; policy mentions "rights under GDPR" but does not specify if it adheres to GDPR</t>
  </si>
  <si>
    <t>"Individual mobile phone data" not further specified, therefore coded as both direct and indirect PII</t>
  </si>
  <si>
    <t>Codes</t>
  </si>
  <si>
    <t>Very general challenge rules that contain a privacy policy that addresses a "challenge", not the specific DPG</t>
  </si>
  <si>
    <t>Opt-out mechanism for cookies, optionality of PII collection relatively unspecific</t>
  </si>
  <si>
    <t>Opt-In, Opt-Out</t>
  </si>
  <si>
    <t>Opt-in</t>
  </si>
  <si>
    <t>Opt-in, Opt-out</t>
  </si>
  <si>
    <t>Cannot verify</t>
  </si>
  <si>
    <t>Contradictory</t>
  </si>
  <si>
    <t>Generic Privacy Policy</t>
  </si>
  <si>
    <t>Consistent</t>
  </si>
  <si>
    <r>
      <t xml:space="preserve">"PII data is collected and stored but </t>
    </r>
    <r>
      <rPr>
        <b/>
        <sz val="11"/>
        <color theme="1"/>
        <rFont val="Calibri"/>
        <family val="2"/>
        <scheme val="minor"/>
      </rPr>
      <t>NOT distributed</t>
    </r>
    <r>
      <rPr>
        <sz val="11"/>
        <color theme="1"/>
        <rFont val="Calibri"/>
        <family val="2"/>
        <scheme val="minor"/>
      </rPr>
      <t>"</t>
    </r>
  </si>
  <si>
    <r>
      <t xml:space="preserve">"PII data is </t>
    </r>
    <r>
      <rPr>
        <b/>
        <sz val="11"/>
        <color theme="1"/>
        <rFont val="Calibri"/>
        <family val="2"/>
        <scheme val="minor"/>
      </rPr>
      <t>NOT collected</t>
    </r>
    <r>
      <rPr>
        <sz val="11"/>
        <color theme="1"/>
        <rFont val="Calibri"/>
        <family val="2"/>
        <scheme val="minor"/>
      </rPr>
      <t xml:space="preserve"> NOT stored and NOT distributed."</t>
    </r>
  </si>
  <si>
    <r>
      <t xml:space="preserve">"Cider </t>
    </r>
    <r>
      <rPr>
        <b/>
        <sz val="11"/>
        <color theme="1"/>
        <rFont val="Calibri"/>
        <family val="2"/>
        <scheme val="minor"/>
      </rPr>
      <t>works with</t>
    </r>
    <r>
      <rPr>
        <sz val="11"/>
        <color theme="1"/>
        <rFont val="Calibri"/>
        <family val="2"/>
        <scheme val="minor"/>
      </rPr>
      <t xml:space="preserve"> individual mobile phone data, which is personally identifiable information."  (Cider - Privacy Policy, S. 1)</t>
    </r>
  </si>
  <si>
    <t>Third-party sharing not disclosed</t>
  </si>
  <si>
    <t>"There are no ‘third party’ data transfers of the PI data through this platform." (Dicra - Privacy Policy, S. 1)</t>
  </si>
  <si>
    <r>
      <t xml:space="preserve">"PII data is collected and stored but </t>
    </r>
    <r>
      <rPr>
        <b/>
        <sz val="11"/>
        <color theme="1"/>
        <rFont val="Calibri"/>
        <family val="2"/>
        <scheme val="minor"/>
      </rPr>
      <t>NOT distributed.</t>
    </r>
    <r>
      <rPr>
        <sz val="11"/>
        <color theme="1"/>
        <rFont val="Calibri"/>
        <family val="2"/>
        <scheme val="minor"/>
      </rPr>
      <t>"</t>
    </r>
  </si>
  <si>
    <r>
      <t xml:space="preserve">"When requesting access to datasets, individuals are asked to </t>
    </r>
    <r>
      <rPr>
        <b/>
        <sz val="11"/>
        <color theme="1"/>
        <rFont val="Calibri"/>
        <family val="2"/>
        <scheme val="minor"/>
      </rPr>
      <t>share their email</t>
    </r>
    <r>
      <rPr>
        <sz val="11"/>
        <color theme="1"/>
        <rFont val="Calibri"/>
        <family val="2"/>
        <scheme val="minor"/>
      </rPr>
      <t xml:space="preserve"> […]. We need the email to provide access to data. (Feluda - Privacy Policy, S. 1)"</t>
    </r>
  </si>
  <si>
    <r>
      <t>"</t>
    </r>
    <r>
      <rPr>
        <b/>
        <sz val="11"/>
        <color theme="1"/>
        <rFont val="Calibri"/>
        <family val="2"/>
        <scheme val="minor"/>
      </rPr>
      <t>Information we may receive</t>
    </r>
    <r>
      <rPr>
        <sz val="11"/>
        <color theme="1"/>
        <rFont val="Calibri"/>
        <family val="2"/>
        <scheme val="minor"/>
      </rPr>
      <t xml:space="preserve"> from you […]: Name &amp; Contact Details, Identity information […]  (FarmStack - Privacy Policy, S. 1 - 2)"</t>
    </r>
  </si>
  <si>
    <r>
      <t xml:space="preserve">"Information collected from patients on the Platform is </t>
    </r>
    <r>
      <rPr>
        <b/>
        <sz val="11"/>
        <color theme="1"/>
        <rFont val="Calibri"/>
        <family val="2"/>
        <scheme val="minor"/>
      </rPr>
      <t>visible to local Health Service Provider(s)</t>
    </r>
    <r>
      <rPr>
        <sz val="11"/>
        <color theme="1"/>
        <rFont val="Calibri"/>
        <family val="2"/>
        <scheme val="minor"/>
      </rPr>
      <t xml:space="preserve"> as per their configuration of the system." (Everwell - Privac Policy, S. 2)</t>
    </r>
  </si>
  <si>
    <r>
      <t xml:space="preserve">"Ersilia </t>
    </r>
    <r>
      <rPr>
        <b/>
        <sz val="11"/>
        <color theme="1"/>
        <rFont val="Calibri"/>
        <family val="2"/>
        <scheme val="minor"/>
      </rPr>
      <t>collects the following data</t>
    </r>
    <r>
      <rPr>
        <sz val="11"/>
        <color theme="1"/>
        <rFont val="Calibri"/>
        <family val="2"/>
        <scheme val="minor"/>
      </rPr>
      <t>: Personal identification information (name, email address)"  (Ersilia - Privacy Policy, S. 1)</t>
    </r>
  </si>
  <si>
    <r>
      <t xml:space="preserve">"We can </t>
    </r>
    <r>
      <rPr>
        <b/>
        <sz val="11"/>
        <color theme="1"/>
        <rFont val="Calibri"/>
        <family val="2"/>
        <scheme val="minor"/>
      </rPr>
      <t>give access to your personal data to our IT service providers</t>
    </r>
    <r>
      <rPr>
        <sz val="11"/>
        <color theme="1"/>
        <rFont val="Calibri"/>
        <family val="2"/>
        <scheme val="minor"/>
      </rPr>
      <t xml:space="preserve"> under contracts for the provision of services in favour of Decidim. (Decidim - Privacy Policy, S. 5)"</t>
    </r>
  </si>
  <si>
    <r>
      <t xml:space="preserve">"The websites […] </t>
    </r>
    <r>
      <rPr>
        <b/>
        <sz val="11"/>
        <color theme="1"/>
        <rFont val="Calibri"/>
        <family val="2"/>
        <scheme val="minor"/>
      </rPr>
      <t>track basic information</t>
    </r>
    <r>
      <rPr>
        <sz val="11"/>
        <color theme="1"/>
        <rFont val="Calibri"/>
        <family val="2"/>
        <scheme val="minor"/>
      </rPr>
      <t xml:space="preserve"> about their visitors. This information includes […] IP addresses" (Dalgo - Privacy Policy, S. 2)</t>
    </r>
  </si>
  <si>
    <r>
      <t xml:space="preserve">"PII data is collected and stored but </t>
    </r>
    <r>
      <rPr>
        <b/>
        <sz val="11"/>
        <color theme="1"/>
        <rFont val="Calibri"/>
        <family val="2"/>
        <scheme val="minor"/>
      </rPr>
      <t>NOT distributed</t>
    </r>
    <r>
      <rPr>
        <sz val="11"/>
        <color theme="1"/>
        <rFont val="Calibri"/>
        <family val="2"/>
        <scheme val="minor"/>
      </rPr>
      <t>."</t>
    </r>
  </si>
  <si>
    <r>
      <t xml:space="preserve">"We </t>
    </r>
    <r>
      <rPr>
        <b/>
        <sz val="11"/>
        <color theme="1"/>
        <rFont val="Calibri"/>
        <family val="2"/>
        <scheme val="minor"/>
      </rPr>
      <t>may collect the following data</t>
    </r>
    <r>
      <rPr>
        <sz val="11"/>
        <color theme="1"/>
        <rFont val="Calibri"/>
        <family val="2"/>
        <scheme val="minor"/>
      </rPr>
      <t>: Your IP address. Your contact information and email address. […]  (caMicroscope - Privacy Policy, S. 1)</t>
    </r>
  </si>
  <si>
    <r>
      <t xml:space="preserve">"When you sign up with us </t>
    </r>
    <r>
      <rPr>
        <b/>
        <sz val="11"/>
        <color theme="1"/>
        <rFont val="Calibri"/>
        <family val="2"/>
        <scheme val="minor"/>
      </rPr>
      <t>we collect the following information</t>
    </r>
    <r>
      <rPr>
        <sz val="11"/>
        <color theme="1"/>
        <rFont val="Calibri"/>
        <family val="2"/>
        <scheme val="minor"/>
      </rPr>
      <t xml:space="preserve"> from you. 
Phone Number, Email Address […]"  (Glific - Privacy Policy, S. 1)</t>
    </r>
  </si>
  <si>
    <r>
      <t xml:space="preserve">"Among the </t>
    </r>
    <r>
      <rPr>
        <b/>
        <sz val="11"/>
        <color theme="1"/>
        <rFont val="Calibri"/>
        <family val="2"/>
        <scheme val="minor"/>
      </rPr>
      <t>Personal Data collected</t>
    </r>
    <r>
      <rPr>
        <sz val="11"/>
        <color theme="1"/>
        <rFont val="Calibri"/>
        <family val="2"/>
        <scheme val="minor"/>
      </rPr>
      <t xml:space="preserve"> (by Bookbot itself or via third parties)" (Indonesian Phoneme Recognizer - Privacy Policy, S. 4)</t>
    </r>
  </si>
  <si>
    <r>
      <t>E-Mail address shared with "</t>
    </r>
    <r>
      <rPr>
        <b/>
        <sz val="11"/>
        <color theme="1"/>
        <rFont val="Calibri"/>
        <family val="2"/>
        <scheme val="minor"/>
      </rPr>
      <t>Newsletter sending platform</t>
    </r>
    <r>
      <rPr>
        <sz val="11"/>
        <color theme="1"/>
        <rFont val="Calibri"/>
        <family val="2"/>
        <scheme val="minor"/>
      </rPr>
      <t xml:space="preserve"> (Brevo)"</t>
    </r>
  </si>
  <si>
    <t>"We do not collect any personally identifiable information (PII) about you." (PotLock - Privacy Policy, S. 1)</t>
  </si>
  <si>
    <r>
      <t>"</t>
    </r>
    <r>
      <rPr>
        <b/>
        <sz val="11"/>
        <color theme="1"/>
        <rFont val="Calibri"/>
        <family val="2"/>
        <scheme val="minor"/>
      </rPr>
      <t>We share your data</t>
    </r>
    <r>
      <rPr>
        <sz val="11"/>
        <color theme="1"/>
        <rFont val="Calibri"/>
        <family val="2"/>
        <scheme val="minor"/>
      </rPr>
      <t xml:space="preserve"> with your consent or to complete any transaction or provide any product or service you have requested or authorized. We also share data with our affiliates and subsidiaries, with vendors working on our behalf.  (PreSco - Privacy Policy, S. 3)"</t>
    </r>
  </si>
  <si>
    <r>
      <t>"PII data is</t>
    </r>
    <r>
      <rPr>
        <b/>
        <sz val="11"/>
        <color theme="1"/>
        <rFont val="Calibri"/>
        <family val="2"/>
        <scheme val="minor"/>
      </rPr>
      <t xml:space="preserve"> NOT collected</t>
    </r>
    <r>
      <rPr>
        <sz val="11"/>
        <color theme="1"/>
        <rFont val="Calibri"/>
        <family val="2"/>
        <scheme val="minor"/>
      </rPr>
      <t xml:space="preserve"> NOT stored and NOT distributed."</t>
    </r>
  </si>
  <si>
    <r>
      <t xml:space="preserve">"Certain visitors' websites choose to interact with our website in ways that </t>
    </r>
    <r>
      <rPr>
        <b/>
        <sz val="11"/>
        <color theme="1"/>
        <rFont val="Calibri"/>
        <family val="2"/>
        <scheme val="minor"/>
      </rPr>
      <t>require us to collect personally-identifying information</t>
    </r>
    <r>
      <rPr>
        <sz val="11"/>
        <color theme="1"/>
        <rFont val="Calibri"/>
        <family val="2"/>
        <scheme val="minor"/>
      </rPr>
      <t>." (Project AEDES - Privacy Policy, S. 1)</t>
    </r>
  </si>
  <si>
    <r>
      <t xml:space="preserve">"No personal information or personally identifiable information of the User […] is collected by us unless you choose to </t>
    </r>
    <r>
      <rPr>
        <b/>
        <sz val="11"/>
        <color theme="1"/>
        <rFont val="Calibri"/>
        <family val="2"/>
        <scheme val="minor"/>
      </rPr>
      <t>provide us with your information such as your name, email address</t>
    </r>
    <r>
      <rPr>
        <sz val="11"/>
        <color theme="1"/>
        <rFont val="Calibri"/>
        <family val="2"/>
        <scheme val="minor"/>
      </rPr>
      <t xml:space="preserve"> […]" (Saral - Privacy Policy, S. 1-2)</t>
    </r>
  </si>
  <si>
    <r>
      <t xml:space="preserve">"These are the features that </t>
    </r>
    <r>
      <rPr>
        <b/>
        <sz val="11"/>
        <color theme="1"/>
        <rFont val="Calibri"/>
        <family val="2"/>
        <scheme val="minor"/>
      </rPr>
      <t>require some personally identifiable information to be collected</t>
    </r>
    <r>
      <rPr>
        <sz val="11"/>
        <color theme="1"/>
        <rFont val="Calibri"/>
        <family val="2"/>
        <scheme val="minor"/>
      </rPr>
      <t>: Archving over email […]" (Uli - Privacy Policy, S. 2)</t>
    </r>
  </si>
  <si>
    <r>
      <t xml:space="preserve">"DrivenData and our service providers </t>
    </r>
    <r>
      <rPr>
        <b/>
        <sz val="11"/>
        <color theme="1"/>
        <rFont val="Calibri"/>
        <family val="2"/>
        <scheme val="minor"/>
      </rPr>
      <t>may collect the following information</t>
    </r>
    <r>
      <rPr>
        <sz val="11"/>
        <color theme="1"/>
        <rFont val="Calibri"/>
        <family val="2"/>
        <scheme val="minor"/>
      </rPr>
      <t xml:space="preserve"> from and about you: Personal Information […]" (Zamba - Privacy Policy, S. 1)</t>
    </r>
  </si>
  <si>
    <r>
      <t>"</t>
    </r>
    <r>
      <rPr>
        <b/>
        <sz val="11"/>
        <color theme="1"/>
        <rFont val="Calibri"/>
        <family val="2"/>
        <scheme val="minor"/>
      </rPr>
      <t>We disclose your public IP with a secure service provider</t>
    </r>
    <r>
      <rPr>
        <sz val="11"/>
        <color theme="1"/>
        <rFont val="Calibri"/>
        <family val="2"/>
        <scheme val="minor"/>
      </rPr>
      <t xml:space="preserve"> that helps us determine your location." (Cboard - Privacy Policy, S. 3)</t>
    </r>
  </si>
  <si>
    <t>Privacy Notice</t>
  </si>
  <si>
    <t>Policy on Personal Data Protection</t>
  </si>
  <si>
    <t>Personal Data Protection and Privacy Principles</t>
  </si>
  <si>
    <t>Challenge Rules</t>
  </si>
  <si>
    <t>Adherence to Data Privacy Standards</t>
  </si>
  <si>
    <t>Not applicable (no optional PII mentioned)</t>
  </si>
  <si>
    <t>Disclosure</t>
  </si>
  <si>
    <t>Comprehensive</t>
  </si>
  <si>
    <t>None</t>
  </si>
  <si>
    <t>Selective</t>
  </si>
  <si>
    <t>Link leads to Github Data Protection Agreement</t>
  </si>
  <si>
    <t>Github Data Protection Agreement</t>
  </si>
  <si>
    <t>2.1 Mentions of AI training</t>
  </si>
  <si>
    <t>2.2 AI Training permissibility</t>
  </si>
  <si>
    <t>Statistical Database Terms of Use</t>
  </si>
  <si>
    <t>License used</t>
  </si>
  <si>
    <t>Open Data Commons Open Database License</t>
  </si>
  <si>
    <t>Data package</t>
  </si>
  <si>
    <t>License</t>
  </si>
  <si>
    <t>Legal Terms</t>
  </si>
  <si>
    <t>Terms of use, contribution and re-use</t>
  </si>
  <si>
    <t>CC BY 4.0</t>
  </si>
  <si>
    <t>ODbL v1.0</t>
  </si>
  <si>
    <t>2011/833/EU</t>
  </si>
  <si>
    <t>CC0 1.0 Universal</t>
  </si>
  <si>
    <t>ODbL v1.0, DBCL 1.0, CC BY-SA 3.0</t>
  </si>
  <si>
    <t>MIT License</t>
  </si>
  <si>
    <t>GNU General Public License</t>
  </si>
  <si>
    <t>FAO prohibits the use of datasets for "any other purpose" than described in the document, and states research, statistical, scientific and evidence based decision making.  And "Datasets shall not be used for or in conjunction with the promotion of a commercial enterprise and/or its product(s) or services (s)" - so you are not allowed to use the data to train a commercial AI model?</t>
  </si>
  <si>
    <t>Generic or specific document</t>
  </si>
  <si>
    <t>Esri Master License Agreement, CC BY 4.0</t>
  </si>
  <si>
    <t>2.3 Scope/restriction of training/use</t>
  </si>
  <si>
    <t>2.4 PII handling in training context</t>
  </si>
  <si>
    <t>Licensing and Data Policy</t>
  </si>
  <si>
    <t>Legal Code</t>
  </si>
  <si>
    <t>Same as Global Healthsites Mapping Project</t>
  </si>
  <si>
    <t>Same as Open Street Map</t>
  </si>
  <si>
    <t>Platform Name</t>
  </si>
  <si>
    <t>Hugging Face</t>
  </si>
  <si>
    <t>OpenML</t>
  </si>
  <si>
    <t>DPG Standard</t>
  </si>
  <si>
    <t>https://github.com/DPGAlliance/dpg-resources/blob/main/docs/dpg-review-policy.md</t>
  </si>
  <si>
    <t>DPG Review Policy</t>
  </si>
  <si>
    <t>Submission Guide</t>
  </si>
  <si>
    <t>https://www.digitalpublicgoods.net/digital-public-goods/submission-guide</t>
  </si>
  <si>
    <t>https://github.com/DPGAlliance/dpg-resources/wiki/5.-Documentation</t>
  </si>
  <si>
    <t>Documentation</t>
  </si>
  <si>
    <t>Content Policy</t>
  </si>
  <si>
    <t>https://huggingface.co/terms-of-service</t>
  </si>
  <si>
    <t>https://huggingface.co/content-policy</t>
  </si>
  <si>
    <t>https://www.openml.org/terms</t>
  </si>
  <si>
    <t>Standard Questions</t>
  </si>
  <si>
    <t>https://github.com/DPGAlliance/DPG-Standard/blob/main/standard-questions.md</t>
  </si>
  <si>
    <t>Google Play Store</t>
  </si>
  <si>
    <t>Apple Appstore</t>
  </si>
  <si>
    <t>https://www.fao.org/contact-us/terms/db-terms-of-use/en/</t>
  </si>
  <si>
    <t>https://github.com/customer-terms/github-data-protection-agreement</t>
  </si>
  <si>
    <t>https://opendatacommons.org/licenses/odbl/1-0/ 1/</t>
  </si>
  <si>
    <t>https://human-settlement.emergency.copernicus.eu/documents/GHSL_Data_Package_2023.pdf?t=1727170839</t>
  </si>
  <si>
    <t>https://github.com/govdirectory/website/blob/main/LICENSE</t>
  </si>
  <si>
    <t>https://developer.yr.no/doc/License/</t>
  </si>
  <si>
    <t>https://commonvoice.mozilla.org/en/terms</t>
  </si>
  <si>
    <t>https://world.openfoodfacts.org/terms-of-use</t>
  </si>
  <si>
    <t>https://github.com/opensupplyhub/open-supply-hub/blob/main/LICENSE.txt</t>
  </si>
  <si>
    <t>https://creativecommons.org/licenses/by/4.0/</t>
  </si>
  <si>
    <t>https://github.com/wikirate/wikirate/blob/main/LICENSE</t>
  </si>
  <si>
    <t>https://www.digitalpublicgoods.net/standard</t>
  </si>
  <si>
    <t>App Review Guidelines</t>
  </si>
  <si>
    <t>https://developer.apple.com/app-store/review/guidelines/</t>
  </si>
  <si>
    <t>Enforcement Process</t>
  </si>
  <si>
    <t>https://support.google.com/googleplay/android-developer/answer/9899234</t>
  </si>
  <si>
    <t>User Data</t>
  </si>
  <si>
    <t>https://support.google.com/googleplay/android-developer/answer/10144311?visit_id=638991360094899996-643620467&amp;rd=1</t>
  </si>
  <si>
    <t>Mean</t>
  </si>
  <si>
    <t>SD</t>
  </si>
  <si>
    <t>Minimum</t>
  </si>
  <si>
    <t>Maximum</t>
  </si>
  <si>
    <t>Inverse FRE</t>
  </si>
  <si>
    <t>Reason for inclusion/exclusion</t>
  </si>
  <si>
    <t>https://play.google.com/intl/ALL_uk/about/play-terms/</t>
  </si>
  <si>
    <t>Terms of Use, Privacy Policy, Honor Code</t>
  </si>
  <si>
    <t>https://huggingface.co/privacy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</si>
</sst>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b/>
      <i/>
      <sz val="11"/>
      <color theme="1"/>
      <name val="Calibri"/>
      <family val="2"/>
      <scheme val="minor"/>
    </font>
    <font>
      <sz val="9"/>
      <color indexed="81"/>
      <name val="Segoe UI"/>
      <family val="2"/>
    </font>
    <font>
      <b/>
      <sz val="9"/>
      <color indexed="81"/>
      <name val="Segoe UI"/>
      <family val="2"/>
    </font>
    <font>
      <sz val="12"/>
      <color indexed="81"/>
      <name val="Segoe UI"/>
      <family val="2"/>
    </font>
    <font>
      <sz val="11"/>
      <color rgb="FFFF0000"/>
      <name val="Calibri"/>
      <family val="2"/>
      <scheme val="minor"/>
    </font>
    <font>
      <b/>
      <sz val="11"/>
      <color rgb="FFFF0000"/>
      <name val="Calibri"/>
      <family val="2"/>
      <scheme val="minor"/>
    </font>
    <font>
      <u/>
      <sz val="11"/>
      <color theme="10"/>
      <name val="Calibri"/>
      <family val="2"/>
      <scheme val="minor"/>
    </font>
  </fonts>
  <fills count="9">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theme="6" tint="0.39997558519241921"/>
        <bgColor indexed="64"/>
      </patternFill>
    </fill>
    <fill>
      <patternFill patternType="solid">
        <fgColor theme="5"/>
        <bgColor indexed="64"/>
      </patternFill>
    </fill>
    <fill>
      <patternFill patternType="solid">
        <fgColor theme="1" tint="0.499984740745262"/>
        <bgColor indexed="64"/>
      </patternFill>
    </fill>
  </fills>
  <borders count="40">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9" fillId="0" borderId="0" applyNumberFormat="0" applyFill="0" applyBorder="0" applyAlignment="0" applyProtection="0"/>
  </cellStyleXfs>
  <cellXfs count="159">
    <xf numFmtId="0" fontId="0" fillId="0" borderId="0" xfId="0"/>
    <xf numFmtId="0" fontId="0" fillId="0" borderId="0" xfId="0" applyAlignment="1">
      <alignment vertical="top"/>
    </xf>
    <xf numFmtId="0" fontId="2" fillId="2" borderId="13" xfId="0" applyFont="1" applyFill="1" applyBorder="1" applyAlignment="1">
      <alignment horizontal="center" vertical="top"/>
    </xf>
    <xf numFmtId="0" fontId="2" fillId="2" borderId="14" xfId="0" applyFont="1" applyFill="1" applyBorder="1" applyAlignment="1">
      <alignment vertical="top"/>
    </xf>
    <xf numFmtId="0" fontId="2" fillId="2" borderId="14" xfId="0" applyFont="1" applyFill="1" applyBorder="1" applyAlignment="1">
      <alignment vertical="top" wrapText="1"/>
    </xf>
    <xf numFmtId="0" fontId="2" fillId="3" borderId="14" xfId="0" applyFont="1" applyFill="1" applyBorder="1" applyAlignment="1">
      <alignment vertical="top"/>
    </xf>
    <xf numFmtId="0" fontId="2" fillId="4" borderId="14" xfId="0" applyFont="1" applyFill="1" applyBorder="1" applyAlignment="1">
      <alignment vertical="top"/>
    </xf>
    <xf numFmtId="0" fontId="2" fillId="4" borderId="15" xfId="0" applyFont="1" applyFill="1" applyBorder="1" applyAlignment="1">
      <alignment vertical="top"/>
    </xf>
    <xf numFmtId="0" fontId="1" fillId="2" borderId="5" xfId="0" applyFont="1" applyFill="1" applyBorder="1" applyAlignment="1">
      <alignment horizontal="center" vertical="top"/>
    </xf>
    <xf numFmtId="0" fontId="0" fillId="2" borderId="6" xfId="0" applyFill="1" applyBorder="1" applyAlignment="1">
      <alignment vertical="top"/>
    </xf>
    <xf numFmtId="0" fontId="0" fillId="2" borderId="6" xfId="0" applyFill="1" applyBorder="1" applyAlignment="1">
      <alignment vertical="top" wrapText="1"/>
    </xf>
    <xf numFmtId="0" fontId="0" fillId="3" borderId="6" xfId="0" applyFill="1" applyBorder="1" applyAlignment="1">
      <alignment vertical="top"/>
    </xf>
    <xf numFmtId="0" fontId="0" fillId="4" borderId="6" xfId="0" applyFill="1" applyBorder="1" applyAlignment="1">
      <alignment vertical="top"/>
    </xf>
    <xf numFmtId="0" fontId="0" fillId="4" borderId="7" xfId="0" applyFill="1" applyBorder="1" applyAlignment="1">
      <alignment vertical="top"/>
    </xf>
    <xf numFmtId="0" fontId="1" fillId="2" borderId="8" xfId="0" applyFont="1" applyFill="1" applyBorder="1" applyAlignment="1">
      <alignment horizontal="center" vertical="top"/>
    </xf>
    <xf numFmtId="0" fontId="0" fillId="2" borderId="4" xfId="0" applyFill="1" applyBorder="1" applyAlignment="1">
      <alignment vertical="top"/>
    </xf>
    <xf numFmtId="0" fontId="0" fillId="2" borderId="4" xfId="0" applyFill="1" applyBorder="1" applyAlignment="1">
      <alignment vertical="top" wrapText="1"/>
    </xf>
    <xf numFmtId="0" fontId="0" fillId="3" borderId="4" xfId="0" applyFill="1" applyBorder="1" applyAlignment="1">
      <alignment vertical="top"/>
    </xf>
    <xf numFmtId="0" fontId="0" fillId="4" borderId="4" xfId="0" applyFill="1" applyBorder="1" applyAlignment="1">
      <alignment vertical="top"/>
    </xf>
    <xf numFmtId="0" fontId="0" fillId="4" borderId="9" xfId="0" applyFill="1" applyBorder="1" applyAlignment="1">
      <alignment vertical="top"/>
    </xf>
    <xf numFmtId="0" fontId="1" fillId="2" borderId="13" xfId="0" applyFont="1" applyFill="1" applyBorder="1" applyAlignment="1">
      <alignment horizontal="center" vertical="top"/>
    </xf>
    <xf numFmtId="0" fontId="0" fillId="2" borderId="18" xfId="0" applyFill="1" applyBorder="1" applyAlignment="1">
      <alignment vertical="top"/>
    </xf>
    <xf numFmtId="0" fontId="0" fillId="2" borderId="18" xfId="0" applyFill="1" applyBorder="1" applyAlignment="1">
      <alignment vertical="top" wrapText="1"/>
    </xf>
    <xf numFmtId="0" fontId="0" fillId="3" borderId="18" xfId="0" applyFill="1" applyBorder="1" applyAlignment="1">
      <alignment vertical="top"/>
    </xf>
    <xf numFmtId="0" fontId="0" fillId="4" borderId="18" xfId="0" applyFill="1" applyBorder="1" applyAlignment="1">
      <alignment vertical="top"/>
    </xf>
    <xf numFmtId="0" fontId="0" fillId="4" borderId="19" xfId="0" applyFill="1" applyBorder="1" applyAlignment="1">
      <alignment vertical="top"/>
    </xf>
    <xf numFmtId="0" fontId="1" fillId="2" borderId="10" xfId="0" applyFont="1" applyFill="1" applyBorder="1" applyAlignment="1">
      <alignment horizontal="center" vertical="top"/>
    </xf>
    <xf numFmtId="0" fontId="0" fillId="2" borderId="11" xfId="0" applyFill="1" applyBorder="1" applyAlignment="1">
      <alignment vertical="top"/>
    </xf>
    <xf numFmtId="0" fontId="0" fillId="2" borderId="11" xfId="0" applyFill="1" applyBorder="1" applyAlignment="1">
      <alignment vertical="top" wrapText="1"/>
    </xf>
    <xf numFmtId="0" fontId="0" fillId="3" borderId="11" xfId="0" applyFill="1" applyBorder="1" applyAlignment="1">
      <alignment vertical="top"/>
    </xf>
    <xf numFmtId="0" fontId="0" fillId="4" borderId="11" xfId="0" applyFill="1" applyBorder="1" applyAlignment="1">
      <alignment vertical="top"/>
    </xf>
    <xf numFmtId="0" fontId="0" fillId="4" borderId="12" xfId="0" applyFill="1" applyBorder="1" applyAlignment="1">
      <alignment vertical="top"/>
    </xf>
    <xf numFmtId="0" fontId="0" fillId="0" borderId="0" xfId="0" applyAlignment="1">
      <alignment horizontal="center" vertical="top"/>
    </xf>
    <xf numFmtId="0" fontId="0" fillId="0" borderId="0" xfId="0" applyAlignment="1">
      <alignment vertical="top" wrapText="1"/>
    </xf>
    <xf numFmtId="0" fontId="2" fillId="2" borderId="14" xfId="0" applyNumberFormat="1" applyFont="1" applyFill="1" applyBorder="1" applyAlignment="1">
      <alignment vertical="top"/>
    </xf>
    <xf numFmtId="0" fontId="0" fillId="2" borderId="6" xfId="0" applyNumberFormat="1" applyFill="1" applyBorder="1" applyAlignment="1">
      <alignment vertical="top"/>
    </xf>
    <xf numFmtId="0" fontId="0" fillId="2" borderId="4" xfId="0" applyNumberFormat="1" applyFill="1" applyBorder="1" applyAlignment="1">
      <alignment vertical="top"/>
    </xf>
    <xf numFmtId="0" fontId="0" fillId="2" borderId="18" xfId="0" applyNumberFormat="1" applyFill="1" applyBorder="1" applyAlignment="1">
      <alignment vertical="top"/>
    </xf>
    <xf numFmtId="0" fontId="0" fillId="2" borderId="11" xfId="0" applyNumberFormat="1" applyFill="1" applyBorder="1" applyAlignment="1">
      <alignment vertical="top"/>
    </xf>
    <xf numFmtId="0" fontId="0" fillId="0" borderId="0" xfId="0" applyNumberFormat="1" applyAlignment="1">
      <alignment vertical="top"/>
    </xf>
    <xf numFmtId="14" fontId="0" fillId="4" borderId="4" xfId="0" applyNumberFormat="1" applyFill="1" applyBorder="1" applyAlignment="1">
      <alignment vertical="top"/>
    </xf>
    <xf numFmtId="14" fontId="0" fillId="4" borderId="11" xfId="0" applyNumberFormat="1" applyFill="1" applyBorder="1" applyAlignment="1">
      <alignment vertical="top"/>
    </xf>
    <xf numFmtId="14" fontId="0" fillId="4" borderId="6" xfId="0" applyNumberFormat="1" applyFill="1" applyBorder="1" applyAlignment="1">
      <alignment vertical="top"/>
    </xf>
    <xf numFmtId="0" fontId="0" fillId="4" borderId="4" xfId="0" applyFill="1" applyBorder="1" applyAlignment="1">
      <alignment vertical="top" wrapText="1"/>
    </xf>
    <xf numFmtId="0" fontId="0" fillId="4" borderId="9" xfId="0" applyFill="1" applyBorder="1" applyAlignment="1">
      <alignment vertical="top" wrapText="1"/>
    </xf>
    <xf numFmtId="14" fontId="0" fillId="2" borderId="4" xfId="0" applyNumberFormat="1" applyFill="1" applyBorder="1" applyAlignment="1">
      <alignment vertical="top" wrapText="1"/>
    </xf>
    <xf numFmtId="14" fontId="0" fillId="2" borderId="11" xfId="0" applyNumberFormat="1" applyFill="1" applyBorder="1" applyAlignment="1">
      <alignment vertical="top" wrapText="1"/>
    </xf>
    <xf numFmtId="0" fontId="0" fillId="3" borderId="6" xfId="0" quotePrefix="1" applyFill="1" applyBorder="1" applyAlignment="1">
      <alignment vertical="top"/>
    </xf>
    <xf numFmtId="0" fontId="0" fillId="3" borderId="4" xfId="0" quotePrefix="1" applyFill="1" applyBorder="1" applyAlignment="1">
      <alignment vertical="top"/>
    </xf>
    <xf numFmtId="0" fontId="0" fillId="3" borderId="18" xfId="0" quotePrefix="1" applyFill="1" applyBorder="1" applyAlignment="1">
      <alignment vertical="top"/>
    </xf>
    <xf numFmtId="0" fontId="2" fillId="4" borderId="14" xfId="0" applyFont="1" applyFill="1" applyBorder="1" applyAlignment="1">
      <alignment vertical="top" wrapText="1"/>
    </xf>
    <xf numFmtId="0" fontId="0" fillId="4" borderId="11" xfId="0" applyFill="1" applyBorder="1" applyAlignment="1">
      <alignment vertical="top" wrapText="1"/>
    </xf>
    <xf numFmtId="0" fontId="2" fillId="6" borderId="14" xfId="0" applyFont="1" applyFill="1" applyBorder="1" applyAlignment="1">
      <alignment vertical="top"/>
    </xf>
    <xf numFmtId="0" fontId="2" fillId="6" borderId="14" xfId="0" applyFont="1" applyFill="1" applyBorder="1" applyAlignment="1">
      <alignment vertical="top" wrapText="1"/>
    </xf>
    <xf numFmtId="0" fontId="0" fillId="6" borderId="4" xfId="0" applyFill="1" applyBorder="1" applyAlignment="1">
      <alignment vertical="top"/>
    </xf>
    <xf numFmtId="0" fontId="0" fillId="6" borderId="4" xfId="0" applyFill="1" applyBorder="1" applyAlignment="1">
      <alignment vertical="top" wrapText="1"/>
    </xf>
    <xf numFmtId="0" fontId="0" fillId="6" borderId="11" xfId="0" applyFill="1" applyBorder="1" applyAlignment="1">
      <alignment vertical="top"/>
    </xf>
    <xf numFmtId="0" fontId="0" fillId="6" borderId="11" xfId="0" applyFill="1" applyBorder="1" applyAlignment="1">
      <alignment vertical="top" wrapText="1"/>
    </xf>
    <xf numFmtId="0" fontId="1" fillId="7" borderId="8" xfId="0" applyFont="1" applyFill="1" applyBorder="1" applyAlignment="1">
      <alignment horizontal="center" vertical="top"/>
    </xf>
    <xf numFmtId="0" fontId="0" fillId="7" borderId="4" xfId="0" applyFill="1" applyBorder="1" applyAlignment="1">
      <alignment vertical="top"/>
    </xf>
    <xf numFmtId="2" fontId="0" fillId="6" borderId="4" xfId="0" applyNumberFormat="1" applyFill="1" applyBorder="1" applyAlignment="1">
      <alignment vertical="top"/>
    </xf>
    <xf numFmtId="2" fontId="0" fillId="7" borderId="4" xfId="0" applyNumberFormat="1" applyFill="1" applyBorder="1" applyAlignment="1">
      <alignment vertical="top"/>
    </xf>
    <xf numFmtId="2" fontId="0" fillId="6" borderId="11" xfId="0" applyNumberFormat="1" applyFill="1" applyBorder="1" applyAlignment="1">
      <alignment vertical="top"/>
    </xf>
    <xf numFmtId="0" fontId="2" fillId="6" borderId="15" xfId="0" applyFont="1" applyFill="1" applyBorder="1" applyAlignment="1">
      <alignment vertical="top"/>
    </xf>
    <xf numFmtId="2" fontId="0" fillId="6" borderId="9" xfId="0" applyNumberFormat="1" applyFill="1" applyBorder="1" applyAlignment="1">
      <alignment vertical="top"/>
    </xf>
    <xf numFmtId="2" fontId="0" fillId="7" borderId="9" xfId="0" applyNumberFormat="1" applyFill="1" applyBorder="1" applyAlignment="1">
      <alignment vertical="top"/>
    </xf>
    <xf numFmtId="2" fontId="0" fillId="6" borderId="12" xfId="0" applyNumberFormat="1" applyFill="1" applyBorder="1" applyAlignment="1">
      <alignment vertical="top"/>
    </xf>
    <xf numFmtId="2" fontId="0" fillId="0" borderId="0" xfId="0" applyNumberFormat="1" applyAlignment="1">
      <alignment vertical="top"/>
    </xf>
    <xf numFmtId="0" fontId="0" fillId="5" borderId="0" xfId="0" applyFill="1" applyAlignment="1">
      <alignment vertical="top"/>
    </xf>
    <xf numFmtId="0" fontId="0" fillId="7" borderId="0" xfId="0" applyFill="1" applyAlignment="1">
      <alignment vertical="top"/>
    </xf>
    <xf numFmtId="0" fontId="3" fillId="2" borderId="2" xfId="0" applyFont="1" applyFill="1" applyBorder="1" applyAlignment="1">
      <alignment horizontal="center" vertical="top"/>
    </xf>
    <xf numFmtId="0" fontId="2" fillId="3" borderId="14" xfId="0" applyFont="1" applyFill="1" applyBorder="1" applyAlignment="1">
      <alignment vertical="top" wrapText="1"/>
    </xf>
    <xf numFmtId="0" fontId="0" fillId="3" borderId="4" xfId="0" applyFill="1" applyBorder="1" applyAlignment="1">
      <alignment vertical="top" wrapText="1"/>
    </xf>
    <xf numFmtId="14" fontId="0" fillId="3" borderId="4" xfId="0" applyNumberFormat="1" applyFill="1" applyBorder="1" applyAlignment="1">
      <alignment vertical="top" wrapText="1"/>
    </xf>
    <xf numFmtId="0" fontId="7" fillId="3" borderId="4" xfId="0" applyFont="1" applyFill="1" applyBorder="1" applyAlignment="1">
      <alignment vertical="top" wrapText="1"/>
    </xf>
    <xf numFmtId="0" fontId="0" fillId="3" borderId="11" xfId="0" applyFill="1" applyBorder="1" applyAlignment="1">
      <alignment vertical="top" wrapText="1"/>
    </xf>
    <xf numFmtId="14" fontId="0" fillId="3" borderId="11" xfId="0" applyNumberFormat="1" applyFill="1" applyBorder="1" applyAlignment="1">
      <alignment vertical="top" wrapText="1"/>
    </xf>
    <xf numFmtId="14" fontId="0" fillId="4" borderId="28" xfId="0" applyNumberFormat="1" applyFill="1" applyBorder="1" applyAlignment="1">
      <alignment vertical="top" wrapText="1"/>
    </xf>
    <xf numFmtId="0" fontId="8" fillId="2" borderId="8" xfId="0" applyFont="1" applyFill="1" applyBorder="1" applyAlignment="1">
      <alignment horizontal="center" vertical="top"/>
    </xf>
    <xf numFmtId="0" fontId="7" fillId="2" borderId="4" xfId="0" applyFont="1" applyFill="1" applyBorder="1" applyAlignment="1">
      <alignment vertical="top" wrapText="1"/>
    </xf>
    <xf numFmtId="0" fontId="7" fillId="2" borderId="4" xfId="0" applyFont="1" applyFill="1" applyBorder="1" applyAlignment="1">
      <alignment vertical="top"/>
    </xf>
    <xf numFmtId="14" fontId="0" fillId="8" borderId="26" xfId="0" applyNumberFormat="1" applyFill="1" applyBorder="1" applyAlignment="1">
      <alignment vertical="top" wrapText="1"/>
    </xf>
    <xf numFmtId="14" fontId="0" fillId="8" borderId="27" xfId="0" applyNumberFormat="1" applyFill="1" applyBorder="1" applyAlignment="1">
      <alignment vertical="top" wrapText="1"/>
    </xf>
    <xf numFmtId="0" fontId="3" fillId="2" borderId="2" xfId="0" applyFont="1" applyFill="1" applyBorder="1" applyAlignment="1">
      <alignment horizontal="center" vertical="top"/>
    </xf>
    <xf numFmtId="0" fontId="0" fillId="2" borderId="4" xfId="0" applyFont="1" applyFill="1" applyBorder="1" applyAlignment="1">
      <alignment vertical="top" wrapText="1"/>
    </xf>
    <xf numFmtId="0" fontId="0" fillId="2" borderId="4" xfId="0" applyFont="1" applyFill="1" applyBorder="1" applyAlignment="1">
      <alignment vertical="top"/>
    </xf>
    <xf numFmtId="0" fontId="0" fillId="3" borderId="4" xfId="0" applyFont="1" applyFill="1" applyBorder="1" applyAlignment="1">
      <alignment vertical="top" wrapText="1"/>
    </xf>
    <xf numFmtId="0" fontId="2" fillId="4" borderId="15" xfId="0" applyFont="1" applyFill="1" applyBorder="1" applyAlignment="1">
      <alignment vertical="top" wrapText="1"/>
    </xf>
    <xf numFmtId="14" fontId="0" fillId="4" borderId="24" xfId="0" quotePrefix="1" applyNumberFormat="1" applyFill="1" applyBorder="1" applyAlignment="1">
      <alignment vertical="top" wrapText="1"/>
    </xf>
    <xf numFmtId="14" fontId="0" fillId="4" borderId="25" xfId="0" quotePrefix="1" applyNumberFormat="1" applyFill="1" applyBorder="1" applyAlignment="1">
      <alignment vertical="top" wrapText="1"/>
    </xf>
    <xf numFmtId="0" fontId="2" fillId="3" borderId="18" xfId="0" applyFont="1" applyFill="1" applyBorder="1" applyAlignment="1">
      <alignment vertical="top" wrapText="1"/>
    </xf>
    <xf numFmtId="0" fontId="0" fillId="3" borderId="28" xfId="0" applyFill="1" applyBorder="1" applyAlignment="1">
      <alignment vertical="top" wrapText="1"/>
    </xf>
    <xf numFmtId="0" fontId="0" fillId="3" borderId="32" xfId="0" applyFill="1" applyBorder="1" applyAlignment="1">
      <alignment vertical="top" wrapText="1"/>
    </xf>
    <xf numFmtId="0" fontId="0" fillId="2" borderId="31" xfId="0" applyFill="1" applyBorder="1" applyAlignment="1">
      <alignment vertical="center" wrapText="1"/>
    </xf>
    <xf numFmtId="14" fontId="0" fillId="4" borderId="9" xfId="0" quotePrefix="1" applyNumberFormat="1" applyFill="1" applyBorder="1" applyAlignment="1">
      <alignment vertical="top" wrapText="1"/>
    </xf>
    <xf numFmtId="14" fontId="0" fillId="4" borderId="12" xfId="0" applyNumberFormat="1" applyFill="1" applyBorder="1" applyAlignment="1">
      <alignment vertical="top" wrapText="1"/>
    </xf>
    <xf numFmtId="0" fontId="3" fillId="2" borderId="1" xfId="0" applyFont="1" applyFill="1" applyBorder="1" applyAlignment="1">
      <alignment horizontal="center" vertical="top"/>
    </xf>
    <xf numFmtId="0" fontId="3" fillId="2" borderId="2" xfId="0" applyFont="1" applyFill="1" applyBorder="1" applyAlignment="1">
      <alignment horizontal="center" vertical="top"/>
    </xf>
    <xf numFmtId="0" fontId="3" fillId="2" borderId="16" xfId="0" applyFont="1" applyFill="1" applyBorder="1" applyAlignment="1">
      <alignment horizontal="center" vertical="top"/>
    </xf>
    <xf numFmtId="0" fontId="3" fillId="3" borderId="17" xfId="0" applyFont="1" applyFill="1" applyBorder="1" applyAlignment="1">
      <alignment horizontal="center" vertical="top"/>
    </xf>
    <xf numFmtId="0" fontId="3" fillId="3" borderId="2" xfId="0" applyFont="1" applyFill="1" applyBorder="1" applyAlignment="1">
      <alignment horizontal="center" vertical="top"/>
    </xf>
    <xf numFmtId="0" fontId="3" fillId="4" borderId="2" xfId="0" applyFont="1" applyFill="1" applyBorder="1" applyAlignment="1">
      <alignment horizontal="center" vertical="top"/>
    </xf>
    <xf numFmtId="0" fontId="3" fillId="4" borderId="2" xfId="0" applyFont="1" applyFill="1" applyBorder="1" applyAlignment="1">
      <alignment horizontal="center" vertical="top" wrapText="1"/>
    </xf>
    <xf numFmtId="0" fontId="3" fillId="4" borderId="3" xfId="0" applyFont="1" applyFill="1" applyBorder="1" applyAlignment="1">
      <alignment horizontal="center" vertical="top"/>
    </xf>
    <xf numFmtId="0" fontId="3" fillId="6" borderId="2" xfId="0" applyFont="1" applyFill="1" applyBorder="1" applyAlignment="1">
      <alignment horizontal="center" vertical="top"/>
    </xf>
    <xf numFmtId="0" fontId="3" fillId="6" borderId="3" xfId="0" applyFont="1" applyFill="1" applyBorder="1" applyAlignment="1">
      <alignment horizontal="center" vertical="top"/>
    </xf>
    <xf numFmtId="0" fontId="3" fillId="3" borderId="26" xfId="0" applyFont="1" applyFill="1" applyBorder="1" applyAlignment="1">
      <alignment horizontal="center" vertical="top"/>
    </xf>
    <xf numFmtId="0" fontId="3" fillId="3" borderId="27" xfId="0" applyFont="1" applyFill="1" applyBorder="1" applyAlignment="1">
      <alignment horizontal="center" vertical="top"/>
    </xf>
    <xf numFmtId="0" fontId="3" fillId="3" borderId="28" xfId="0" applyFont="1" applyFill="1" applyBorder="1" applyAlignment="1">
      <alignment horizontal="center" vertical="top"/>
    </xf>
    <xf numFmtId="0" fontId="3" fillId="4" borderId="26" xfId="0" applyFont="1" applyFill="1" applyBorder="1" applyAlignment="1">
      <alignment horizontal="center" vertical="top"/>
    </xf>
    <xf numFmtId="0" fontId="3" fillId="4" borderId="27" xfId="0" applyFont="1" applyFill="1" applyBorder="1" applyAlignment="1">
      <alignment horizontal="center" vertical="top"/>
    </xf>
    <xf numFmtId="0" fontId="3" fillId="4" borderId="28" xfId="0" applyFont="1" applyFill="1" applyBorder="1" applyAlignment="1">
      <alignment horizontal="center" vertical="top"/>
    </xf>
    <xf numFmtId="0" fontId="3" fillId="2" borderId="26" xfId="0" applyFont="1" applyFill="1" applyBorder="1" applyAlignment="1">
      <alignment horizontal="center" vertical="top"/>
    </xf>
    <xf numFmtId="0" fontId="3" fillId="2" borderId="27" xfId="0" applyFont="1" applyFill="1" applyBorder="1" applyAlignment="1">
      <alignment horizontal="center" vertical="top"/>
    </xf>
    <xf numFmtId="0" fontId="3" fillId="2" borderId="28" xfId="0" applyFont="1" applyFill="1" applyBorder="1" applyAlignment="1">
      <alignment horizontal="center" vertical="top"/>
    </xf>
    <xf numFmtId="0" fontId="0" fillId="2" borderId="18" xfId="0" applyFill="1" applyBorder="1" applyAlignment="1">
      <alignment horizontal="left" vertical="center" wrapText="1"/>
    </xf>
    <xf numFmtId="0" fontId="0" fillId="2" borderId="29" xfId="0" applyFill="1" applyBorder="1" applyAlignment="1">
      <alignment horizontal="left" vertical="center" wrapText="1"/>
    </xf>
    <xf numFmtId="0" fontId="0" fillId="2" borderId="30" xfId="0" applyFill="1" applyBorder="1" applyAlignment="1">
      <alignment horizontal="left" vertical="center" wrapText="1"/>
    </xf>
    <xf numFmtId="0" fontId="0" fillId="0" borderId="0" xfId="0" applyAlignment="1">
      <alignment horizontal="left" vertical="top" wrapText="1"/>
    </xf>
    <xf numFmtId="0" fontId="1" fillId="2" borderId="20" xfId="0" applyFont="1" applyFill="1" applyBorder="1" applyAlignment="1">
      <alignment vertical="center" wrapText="1"/>
    </xf>
    <xf numFmtId="0" fontId="1" fillId="2" borderId="21" xfId="0" applyFont="1" applyFill="1" applyBorder="1" applyAlignment="1">
      <alignment vertical="center" wrapText="1"/>
    </xf>
    <xf numFmtId="0" fontId="0" fillId="2" borderId="23" xfId="0" applyFill="1" applyBorder="1" applyAlignment="1">
      <alignment horizontal="left" vertical="center" wrapText="1"/>
    </xf>
    <xf numFmtId="0" fontId="0" fillId="2" borderId="0" xfId="0" applyFill="1" applyAlignment="1">
      <alignment vertical="center" wrapText="1"/>
    </xf>
    <xf numFmtId="0" fontId="1" fillId="3" borderId="21" xfId="0" applyFont="1" applyFill="1" applyBorder="1" applyAlignment="1">
      <alignment vertical="center" wrapText="1"/>
    </xf>
    <xf numFmtId="0" fontId="1" fillId="3" borderId="21" xfId="0" applyFont="1" applyFill="1" applyBorder="1" applyAlignment="1">
      <alignment vertical="center"/>
    </xf>
    <xf numFmtId="0" fontId="0" fillId="3" borderId="0" xfId="0" applyFill="1" applyAlignment="1">
      <alignment vertical="center" wrapText="1"/>
    </xf>
    <xf numFmtId="0" fontId="0" fillId="3" borderId="0" xfId="0" applyFill="1" applyAlignment="1">
      <alignment vertical="center"/>
    </xf>
    <xf numFmtId="0" fontId="0" fillId="4" borderId="22" xfId="0" applyFill="1" applyBorder="1" applyAlignment="1">
      <alignment vertical="center"/>
    </xf>
    <xf numFmtId="0" fontId="0" fillId="4" borderId="0" xfId="0" applyFill="1" applyAlignment="1">
      <alignment vertical="center"/>
    </xf>
    <xf numFmtId="0" fontId="0" fillId="2" borderId="33" xfId="0" applyFill="1" applyBorder="1" applyAlignment="1">
      <alignment horizontal="left" vertical="center" wrapText="1"/>
    </xf>
    <xf numFmtId="0" fontId="0" fillId="2" borderId="23" xfId="0" applyFill="1" applyBorder="1" applyAlignment="1">
      <alignment vertical="center" wrapText="1"/>
    </xf>
    <xf numFmtId="0" fontId="0" fillId="3" borderId="23" xfId="0" applyFill="1" applyBorder="1" applyAlignment="1">
      <alignment vertical="center" wrapText="1"/>
    </xf>
    <xf numFmtId="0" fontId="0" fillId="3" borderId="23" xfId="0" applyFill="1" applyBorder="1" applyAlignment="1">
      <alignment vertical="center"/>
    </xf>
    <xf numFmtId="0" fontId="0" fillId="4" borderId="34" xfId="0" applyFill="1" applyBorder="1" applyAlignment="1">
      <alignment vertical="center"/>
    </xf>
    <xf numFmtId="0" fontId="0" fillId="2" borderId="35" xfId="0" applyFill="1" applyBorder="1" applyAlignment="1">
      <alignment horizontal="left" vertical="center" wrapText="1"/>
    </xf>
    <xf numFmtId="0" fontId="0" fillId="2" borderId="0" xfId="0" applyFill="1" applyBorder="1" applyAlignment="1">
      <alignment horizontal="left" vertical="center" wrapText="1"/>
    </xf>
    <xf numFmtId="0" fontId="0" fillId="2" borderId="0" xfId="0" applyFill="1" applyBorder="1" applyAlignment="1">
      <alignment vertical="center" wrapText="1"/>
    </xf>
    <xf numFmtId="0" fontId="0" fillId="3" borderId="0" xfId="0" applyFill="1" applyBorder="1" applyAlignment="1">
      <alignment vertical="center" wrapText="1"/>
    </xf>
    <xf numFmtId="0" fontId="0" fillId="3" borderId="0" xfId="0" applyFill="1" applyBorder="1" applyAlignment="1">
      <alignment vertical="center"/>
    </xf>
    <xf numFmtId="0" fontId="0" fillId="4" borderId="36" xfId="0" applyFill="1" applyBorder="1" applyAlignment="1">
      <alignment vertical="center"/>
    </xf>
    <xf numFmtId="0" fontId="0" fillId="2" borderId="37" xfId="0" applyFill="1" applyBorder="1" applyAlignment="1">
      <alignment horizontal="left" vertical="center" wrapText="1"/>
    </xf>
    <xf numFmtId="0" fontId="0" fillId="2" borderId="38" xfId="0" applyFill="1" applyBorder="1" applyAlignment="1">
      <alignment horizontal="left" vertical="center" wrapText="1"/>
    </xf>
    <xf numFmtId="0" fontId="0" fillId="2" borderId="38" xfId="0" applyFill="1" applyBorder="1" applyAlignment="1">
      <alignment vertical="center" wrapText="1"/>
    </xf>
    <xf numFmtId="0" fontId="0" fillId="3" borderId="38" xfId="0" applyFill="1" applyBorder="1" applyAlignment="1">
      <alignment vertical="center" wrapText="1"/>
    </xf>
    <xf numFmtId="0" fontId="0" fillId="3" borderId="38" xfId="0" applyFill="1" applyBorder="1" applyAlignment="1">
      <alignment vertical="center"/>
    </xf>
    <xf numFmtId="0" fontId="0" fillId="4" borderId="39" xfId="0" applyFill="1" applyBorder="1" applyAlignment="1">
      <alignment vertical="center"/>
    </xf>
    <xf numFmtId="0" fontId="0" fillId="2" borderId="20" xfId="0" applyFill="1" applyBorder="1" applyAlignment="1">
      <alignment vertical="center" wrapText="1"/>
    </xf>
    <xf numFmtId="0" fontId="0" fillId="2" borderId="21" xfId="0" applyFill="1" applyBorder="1" applyAlignment="1">
      <alignment vertical="center" wrapText="1"/>
    </xf>
    <xf numFmtId="0" fontId="0" fillId="3" borderId="21" xfId="0" applyFill="1" applyBorder="1" applyAlignment="1">
      <alignment vertical="center" wrapText="1"/>
    </xf>
    <xf numFmtId="0" fontId="0" fillId="3" borderId="21" xfId="0" applyFill="1" applyBorder="1" applyAlignment="1">
      <alignment vertical="center"/>
    </xf>
    <xf numFmtId="0" fontId="0" fillId="4" borderId="34" xfId="0" applyFill="1" applyBorder="1" applyAlignment="1">
      <alignment horizontal="left" vertical="center"/>
    </xf>
    <xf numFmtId="0" fontId="0" fillId="4" borderId="36" xfId="0" applyFill="1" applyBorder="1" applyAlignment="1">
      <alignment horizontal="left" vertical="center"/>
    </xf>
    <xf numFmtId="0" fontId="0" fillId="4" borderId="39" xfId="0" applyFill="1" applyBorder="1" applyAlignment="1">
      <alignment horizontal="left" vertical="center"/>
    </xf>
    <xf numFmtId="0" fontId="0" fillId="2" borderId="20" xfId="0" applyFill="1" applyBorder="1" applyAlignment="1">
      <alignment vertical="center"/>
    </xf>
    <xf numFmtId="0" fontId="0" fillId="2" borderId="21" xfId="0" applyFill="1" applyBorder="1" applyAlignment="1">
      <alignment vertical="center"/>
    </xf>
    <xf numFmtId="0" fontId="9" fillId="3" borderId="21" xfId="1" applyFill="1" applyBorder="1" applyAlignment="1">
      <alignment vertical="center"/>
    </xf>
    <xf numFmtId="0" fontId="0" fillId="2" borderId="4" xfId="0" applyFill="1" applyBorder="1" applyAlignment="1">
      <alignment horizontal="left" vertical="center" wrapText="1"/>
    </xf>
    <xf numFmtId="0" fontId="0" fillId="0" borderId="0" xfId="0" applyFill="1" applyAlignment="1">
      <alignment vertical="top"/>
    </xf>
    <xf numFmtId="0" fontId="3" fillId="3" borderId="16" xfId="0" applyFont="1" applyFill="1" applyBorder="1" applyAlignment="1">
      <alignment horizontal="center" vertical="top"/>
    </xf>
  </cellXfs>
  <cellStyles count="2">
    <cellStyle name="Link" xfId="1" builtinId="8"/>
    <cellStyle name="Standard" xfId="0" builtinId="0"/>
  </cellStyles>
  <dxfs count="0"/>
  <tableStyles count="0" defaultTableStyle="TableStyleMedium2" defaultPivotStyle="PivotStyleLight16"/>
  <colors>
    <mruColors>
      <color rgb="FFFFDEC4"/>
      <color rgb="FFD55E00"/>
      <color rgb="FFFF9B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hg.savannah.gnu.org/hgweb/health/"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undp.org/blog/ensuring-positive-people-focused-futures-through-ai"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6616B-EA7C-44F1-A80D-C35CC316C412}">
  <dimension ref="A1:S215"/>
  <sheetViews>
    <sheetView tabSelected="1" zoomScaleNormal="100" workbookViewId="0">
      <pane ySplit="2" topLeftCell="A3" activePane="bottomLeft" state="frozen"/>
      <selection pane="bottomLeft" activeCell="S5" sqref="S5"/>
    </sheetView>
  </sheetViews>
  <sheetFormatPr baseColWidth="10" defaultRowHeight="14.4" x14ac:dyDescent="0.3"/>
  <cols>
    <col min="1" max="1" width="7.44140625" style="32" bestFit="1" customWidth="1"/>
    <col min="2" max="2" width="62.21875" style="1" bestFit="1" customWidth="1"/>
    <col min="3" max="3" width="16" style="1" customWidth="1"/>
    <col min="4" max="4" width="16.21875" style="1" customWidth="1"/>
    <col min="5" max="5" width="28.5546875" style="1" customWidth="1"/>
    <col min="6" max="6" width="22.44140625" style="1" customWidth="1"/>
    <col min="7" max="8" width="31.33203125" style="33" customWidth="1"/>
    <col min="9" max="10" width="30.44140625" style="39" customWidth="1"/>
    <col min="11" max="11" width="86.77734375" style="33" customWidth="1"/>
    <col min="12" max="12" width="20" style="1" bestFit="1" customWidth="1"/>
    <col min="13" max="14" width="18.44140625" style="1" customWidth="1"/>
    <col min="15" max="15" width="29.6640625" style="1" bestFit="1" customWidth="1"/>
    <col min="16" max="16" width="45.6640625" style="33" customWidth="1"/>
    <col min="17" max="17" width="14.5546875" style="1" bestFit="1" customWidth="1"/>
    <col min="18" max="18" width="11.109375" style="1" bestFit="1" customWidth="1"/>
    <col min="19" max="19" width="255.6640625" style="1" customWidth="1"/>
    <col min="20" max="16384" width="11.5546875" style="1"/>
  </cols>
  <sheetData>
    <row r="1" spans="1:19" x14ac:dyDescent="0.3">
      <c r="A1" s="96" t="s">
        <v>13</v>
      </c>
      <c r="B1" s="97"/>
      <c r="C1" s="97"/>
      <c r="D1" s="97"/>
      <c r="E1" s="97"/>
      <c r="F1" s="97"/>
      <c r="G1" s="97"/>
      <c r="H1" s="97"/>
      <c r="I1" s="97"/>
      <c r="J1" s="97"/>
      <c r="K1" s="98"/>
      <c r="L1" s="99" t="s">
        <v>14</v>
      </c>
      <c r="M1" s="100"/>
      <c r="N1" s="100"/>
      <c r="O1" s="101"/>
      <c r="P1" s="102"/>
      <c r="Q1" s="101"/>
      <c r="R1" s="101"/>
      <c r="S1" s="103"/>
    </row>
    <row r="2" spans="1:19" ht="16.2" thickBot="1" x14ac:dyDescent="0.35">
      <c r="A2" s="2" t="s">
        <v>10</v>
      </c>
      <c r="B2" s="3" t="s">
        <v>0</v>
      </c>
      <c r="C2" s="3" t="s">
        <v>1101</v>
      </c>
      <c r="D2" s="3" t="s">
        <v>5</v>
      </c>
      <c r="E2" s="3" t="s">
        <v>1</v>
      </c>
      <c r="F2" s="3" t="s">
        <v>2</v>
      </c>
      <c r="G2" s="4" t="s">
        <v>6</v>
      </c>
      <c r="H2" s="4" t="s">
        <v>1150</v>
      </c>
      <c r="I2" s="34" t="s">
        <v>3</v>
      </c>
      <c r="J2" s="34" t="s">
        <v>1240</v>
      </c>
      <c r="K2" s="4" t="s">
        <v>4</v>
      </c>
      <c r="L2" s="5" t="s">
        <v>1143</v>
      </c>
      <c r="M2" s="5" t="s">
        <v>884</v>
      </c>
      <c r="N2" s="5" t="s">
        <v>1173</v>
      </c>
      <c r="O2" s="6" t="s">
        <v>1399</v>
      </c>
      <c r="P2" s="50" t="s">
        <v>8</v>
      </c>
      <c r="Q2" s="6" t="s">
        <v>9</v>
      </c>
      <c r="R2" s="6" t="s">
        <v>11</v>
      </c>
      <c r="S2" s="7" t="s">
        <v>12</v>
      </c>
    </row>
    <row r="3" spans="1:19" ht="43.2" x14ac:dyDescent="0.3">
      <c r="A3" s="8">
        <v>1</v>
      </c>
      <c r="B3" s="9" t="s">
        <v>16</v>
      </c>
      <c r="C3" s="9" t="s">
        <v>885</v>
      </c>
      <c r="D3" s="9" t="s">
        <v>18</v>
      </c>
      <c r="E3" s="9" t="s">
        <v>494</v>
      </c>
      <c r="F3" s="9" t="s">
        <v>17</v>
      </c>
      <c r="G3" s="10" t="s">
        <v>479</v>
      </c>
      <c r="H3" s="10" t="s">
        <v>941</v>
      </c>
      <c r="I3" s="35" t="s">
        <v>495</v>
      </c>
      <c r="J3" s="35" t="s">
        <v>1249</v>
      </c>
      <c r="K3" s="10" t="s">
        <v>19</v>
      </c>
      <c r="L3" s="11" t="s">
        <v>852</v>
      </c>
      <c r="M3" s="47" t="s">
        <v>639</v>
      </c>
      <c r="N3" s="47" t="s">
        <v>639</v>
      </c>
      <c r="O3" s="12" t="s">
        <v>886</v>
      </c>
      <c r="P3" s="12" t="s">
        <v>887</v>
      </c>
      <c r="Q3" s="12" t="s">
        <v>888</v>
      </c>
      <c r="R3" s="42">
        <v>45923</v>
      </c>
      <c r="S3" s="13" t="s">
        <v>889</v>
      </c>
    </row>
    <row r="4" spans="1:19" ht="28.8" x14ac:dyDescent="0.3">
      <c r="A4" s="14">
        <v>2</v>
      </c>
      <c r="B4" s="15" t="s">
        <v>20</v>
      </c>
      <c r="C4" s="15" t="s">
        <v>1100</v>
      </c>
      <c r="D4" s="15" t="s">
        <v>18</v>
      </c>
      <c r="E4" s="15" t="s">
        <v>494</v>
      </c>
      <c r="F4" s="15" t="s">
        <v>21</v>
      </c>
      <c r="G4" s="16" t="s">
        <v>480</v>
      </c>
      <c r="H4" s="16" t="s">
        <v>941</v>
      </c>
      <c r="I4" s="36" t="s">
        <v>496</v>
      </c>
      <c r="J4" s="36" t="s">
        <v>1246</v>
      </c>
      <c r="K4" s="16" t="s">
        <v>22</v>
      </c>
      <c r="L4" s="17" t="s">
        <v>852</v>
      </c>
      <c r="M4" s="48" t="s">
        <v>639</v>
      </c>
      <c r="N4" s="48" t="s">
        <v>639</v>
      </c>
      <c r="O4" s="18" t="s">
        <v>886</v>
      </c>
      <c r="P4" s="18" t="s">
        <v>890</v>
      </c>
      <c r="Q4" s="18" t="s">
        <v>888</v>
      </c>
      <c r="R4" s="40">
        <v>45923</v>
      </c>
      <c r="S4" s="19"/>
    </row>
    <row r="5" spans="1:19" ht="57.6" x14ac:dyDescent="0.3">
      <c r="A5" s="14">
        <v>3</v>
      </c>
      <c r="B5" s="15" t="s">
        <v>23</v>
      </c>
      <c r="C5" s="15" t="s">
        <v>885</v>
      </c>
      <c r="D5" s="15" t="s">
        <v>18</v>
      </c>
      <c r="E5" s="15" t="s">
        <v>494</v>
      </c>
      <c r="F5" s="15" t="s">
        <v>24</v>
      </c>
      <c r="G5" s="16" t="s">
        <v>481</v>
      </c>
      <c r="H5" s="16" t="s">
        <v>941</v>
      </c>
      <c r="I5" s="36" t="s">
        <v>497</v>
      </c>
      <c r="J5" s="36" t="s">
        <v>1241</v>
      </c>
      <c r="K5" s="16" t="s">
        <v>25</v>
      </c>
      <c r="L5" s="17" t="s">
        <v>852</v>
      </c>
      <c r="M5" s="48" t="s">
        <v>639</v>
      </c>
      <c r="N5" s="48" t="s">
        <v>639</v>
      </c>
      <c r="O5" s="18" t="s">
        <v>886</v>
      </c>
      <c r="P5" s="18" t="s">
        <v>892</v>
      </c>
      <c r="Q5" s="18" t="s">
        <v>893</v>
      </c>
      <c r="R5" s="40">
        <v>45923</v>
      </c>
      <c r="S5" s="19"/>
    </row>
    <row r="6" spans="1:19" ht="57.6" x14ac:dyDescent="0.3">
      <c r="A6" s="14">
        <v>4</v>
      </c>
      <c r="B6" s="15" t="s">
        <v>26</v>
      </c>
      <c r="C6" s="15" t="s">
        <v>1100</v>
      </c>
      <c r="D6" s="15" t="s">
        <v>28</v>
      </c>
      <c r="E6" s="15" t="s">
        <v>483</v>
      </c>
      <c r="F6" s="15" t="s">
        <v>27</v>
      </c>
      <c r="G6" s="16" t="s">
        <v>482</v>
      </c>
      <c r="H6" s="16" t="s">
        <v>941</v>
      </c>
      <c r="I6" s="36" t="s">
        <v>498</v>
      </c>
      <c r="J6" s="36" t="s">
        <v>1241</v>
      </c>
      <c r="K6" s="16" t="s">
        <v>29</v>
      </c>
      <c r="L6" s="17" t="s">
        <v>852</v>
      </c>
      <c r="M6" s="48" t="s">
        <v>639</v>
      </c>
      <c r="N6" s="48" t="s">
        <v>639</v>
      </c>
      <c r="O6" s="18" t="s">
        <v>886</v>
      </c>
      <c r="P6" s="18" t="s">
        <v>891</v>
      </c>
      <c r="Q6" s="18" t="s">
        <v>894</v>
      </c>
      <c r="R6" s="40">
        <v>45923</v>
      </c>
      <c r="S6" s="19"/>
    </row>
    <row r="7" spans="1:19" ht="28.8" x14ac:dyDescent="0.3">
      <c r="A7" s="14">
        <v>5</v>
      </c>
      <c r="B7" s="15" t="s">
        <v>30</v>
      </c>
      <c r="C7" s="15" t="s">
        <v>885</v>
      </c>
      <c r="D7" s="15" t="s">
        <v>28</v>
      </c>
      <c r="E7" s="15" t="s">
        <v>485</v>
      </c>
      <c r="F7" s="15" t="s">
        <v>31</v>
      </c>
      <c r="G7" s="16" t="s">
        <v>484</v>
      </c>
      <c r="H7" s="16" t="s">
        <v>941</v>
      </c>
      <c r="I7" s="36" t="s">
        <v>499</v>
      </c>
      <c r="J7" s="36" t="s">
        <v>1242</v>
      </c>
      <c r="K7" s="16" t="s">
        <v>32</v>
      </c>
      <c r="L7" s="17" t="s">
        <v>852</v>
      </c>
      <c r="M7" s="48" t="s">
        <v>639</v>
      </c>
      <c r="N7" s="48" t="s">
        <v>639</v>
      </c>
      <c r="O7" s="18" t="s">
        <v>886</v>
      </c>
      <c r="P7" s="18" t="s">
        <v>898</v>
      </c>
      <c r="Q7" s="18" t="s">
        <v>888</v>
      </c>
      <c r="R7" s="40">
        <v>45923</v>
      </c>
      <c r="S7" s="19"/>
    </row>
    <row r="8" spans="1:19" ht="43.2" x14ac:dyDescent="0.3">
      <c r="A8" s="14">
        <v>6</v>
      </c>
      <c r="B8" s="15" t="s">
        <v>33</v>
      </c>
      <c r="C8" s="15" t="s">
        <v>885</v>
      </c>
      <c r="D8" s="15" t="s">
        <v>35</v>
      </c>
      <c r="E8" s="15" t="s">
        <v>488</v>
      </c>
      <c r="F8" s="15" t="s">
        <v>34</v>
      </c>
      <c r="G8" s="16" t="s">
        <v>486</v>
      </c>
      <c r="H8" s="16" t="s">
        <v>941</v>
      </c>
      <c r="I8" s="36" t="s">
        <v>500</v>
      </c>
      <c r="J8" s="36" t="s">
        <v>1243</v>
      </c>
      <c r="K8" s="16" t="s">
        <v>36</v>
      </c>
      <c r="L8" s="17" t="s">
        <v>852</v>
      </c>
      <c r="M8" s="48" t="s">
        <v>639</v>
      </c>
      <c r="N8" s="48" t="s">
        <v>639</v>
      </c>
      <c r="O8" s="18" t="s">
        <v>886</v>
      </c>
      <c r="P8" s="18" t="s">
        <v>897</v>
      </c>
      <c r="Q8" s="18" t="s">
        <v>868</v>
      </c>
      <c r="R8" s="40">
        <v>45923</v>
      </c>
      <c r="S8" s="19"/>
    </row>
    <row r="9" spans="1:19" ht="43.2" x14ac:dyDescent="0.3">
      <c r="A9" s="14">
        <v>7</v>
      </c>
      <c r="B9" s="15" t="s">
        <v>37</v>
      </c>
      <c r="C9" s="15" t="s">
        <v>885</v>
      </c>
      <c r="D9" s="15" t="s">
        <v>28</v>
      </c>
      <c r="E9" s="15" t="s">
        <v>490</v>
      </c>
      <c r="F9" s="15" t="s">
        <v>38</v>
      </c>
      <c r="G9" s="16" t="s">
        <v>489</v>
      </c>
      <c r="H9" s="16" t="s">
        <v>941</v>
      </c>
      <c r="I9" s="36" t="s">
        <v>501</v>
      </c>
      <c r="J9" s="36" t="s">
        <v>1243</v>
      </c>
      <c r="K9" s="16" t="s">
        <v>39</v>
      </c>
      <c r="L9" s="17" t="s">
        <v>852</v>
      </c>
      <c r="M9" s="48" t="s">
        <v>639</v>
      </c>
      <c r="N9" s="48" t="s">
        <v>639</v>
      </c>
      <c r="O9" s="18" t="s">
        <v>886</v>
      </c>
      <c r="P9" s="18" t="s">
        <v>896</v>
      </c>
      <c r="Q9" s="18" t="s">
        <v>868</v>
      </c>
      <c r="R9" s="40">
        <v>45923</v>
      </c>
      <c r="S9" s="19"/>
    </row>
    <row r="10" spans="1:19" ht="43.2" x14ac:dyDescent="0.3">
      <c r="A10" s="14">
        <v>8</v>
      </c>
      <c r="B10" s="15" t="s">
        <v>40</v>
      </c>
      <c r="C10" s="15" t="s">
        <v>885</v>
      </c>
      <c r="D10" s="15" t="s">
        <v>35</v>
      </c>
      <c r="E10" s="15" t="s">
        <v>491</v>
      </c>
      <c r="F10" s="15" t="s">
        <v>34</v>
      </c>
      <c r="G10" s="16" t="s">
        <v>486</v>
      </c>
      <c r="H10" s="16" t="s">
        <v>941</v>
      </c>
      <c r="I10" s="36" t="s">
        <v>502</v>
      </c>
      <c r="J10" s="36" t="s">
        <v>1243</v>
      </c>
      <c r="K10" s="16" t="s">
        <v>41</v>
      </c>
      <c r="L10" s="17" t="s">
        <v>852</v>
      </c>
      <c r="M10" s="48" t="s">
        <v>639</v>
      </c>
      <c r="N10" s="48" t="s">
        <v>639</v>
      </c>
      <c r="O10" s="18" t="s">
        <v>886</v>
      </c>
      <c r="P10" s="18" t="s">
        <v>895</v>
      </c>
      <c r="Q10" s="18" t="s">
        <v>868</v>
      </c>
      <c r="R10" s="40">
        <v>45923</v>
      </c>
      <c r="S10" s="19"/>
    </row>
    <row r="11" spans="1:19" ht="43.2" x14ac:dyDescent="0.3">
      <c r="A11" s="14">
        <v>9</v>
      </c>
      <c r="B11" s="15" t="s">
        <v>42</v>
      </c>
      <c r="C11" s="15" t="s">
        <v>885</v>
      </c>
      <c r="D11" s="15" t="s">
        <v>35</v>
      </c>
      <c r="E11" s="15" t="s">
        <v>491</v>
      </c>
      <c r="F11" s="15" t="s">
        <v>34</v>
      </c>
      <c r="G11" s="16" t="s">
        <v>486</v>
      </c>
      <c r="H11" s="16" t="s">
        <v>941</v>
      </c>
      <c r="I11" s="36" t="s">
        <v>503</v>
      </c>
      <c r="J11" s="36" t="s">
        <v>1243</v>
      </c>
      <c r="K11" s="16" t="s">
        <v>43</v>
      </c>
      <c r="L11" s="17" t="s">
        <v>852</v>
      </c>
      <c r="M11" s="48" t="s">
        <v>639</v>
      </c>
      <c r="N11" s="48" t="s">
        <v>639</v>
      </c>
      <c r="O11" s="18" t="s">
        <v>886</v>
      </c>
      <c r="P11" s="18" t="s">
        <v>899</v>
      </c>
      <c r="Q11" s="18" t="s">
        <v>868</v>
      </c>
      <c r="R11" s="40">
        <v>45923</v>
      </c>
      <c r="S11" s="19"/>
    </row>
    <row r="12" spans="1:19" ht="28.8" x14ac:dyDescent="0.3">
      <c r="A12" s="14">
        <v>10</v>
      </c>
      <c r="B12" s="15" t="s">
        <v>44</v>
      </c>
      <c r="C12" s="15" t="s">
        <v>885</v>
      </c>
      <c r="D12" s="15" t="s">
        <v>18</v>
      </c>
      <c r="E12" s="15" t="s">
        <v>494</v>
      </c>
      <c r="F12" s="15" t="s">
        <v>27</v>
      </c>
      <c r="G12" s="16" t="s">
        <v>492</v>
      </c>
      <c r="H12" s="16" t="s">
        <v>941</v>
      </c>
      <c r="I12" s="36" t="s">
        <v>504</v>
      </c>
      <c r="J12" s="36" t="s">
        <v>1249</v>
      </c>
      <c r="K12" s="16" t="s">
        <v>45</v>
      </c>
      <c r="L12" s="17" t="s">
        <v>852</v>
      </c>
      <c r="M12" s="48" t="s">
        <v>639</v>
      </c>
      <c r="N12" s="48" t="s">
        <v>639</v>
      </c>
      <c r="O12" s="18" t="s">
        <v>886</v>
      </c>
      <c r="P12" s="18" t="s">
        <v>900</v>
      </c>
      <c r="Q12" s="18" t="s">
        <v>888</v>
      </c>
      <c r="R12" s="40">
        <v>45923</v>
      </c>
      <c r="S12" s="19"/>
    </row>
    <row r="13" spans="1:19" ht="28.8" x14ac:dyDescent="0.3">
      <c r="A13" s="14">
        <v>11</v>
      </c>
      <c r="B13" s="15" t="s">
        <v>46</v>
      </c>
      <c r="C13" s="15" t="s">
        <v>885</v>
      </c>
      <c r="D13" s="15" t="s">
        <v>18</v>
      </c>
      <c r="E13" s="15" t="s">
        <v>494</v>
      </c>
      <c r="F13" s="15" t="s">
        <v>47</v>
      </c>
      <c r="G13" s="16" t="s">
        <v>493</v>
      </c>
      <c r="H13" s="16" t="s">
        <v>941</v>
      </c>
      <c r="I13" s="36" t="s">
        <v>504</v>
      </c>
      <c r="J13" s="36" t="s">
        <v>1246</v>
      </c>
      <c r="K13" s="16" t="s">
        <v>48</v>
      </c>
      <c r="L13" s="17" t="s">
        <v>852</v>
      </c>
      <c r="M13" s="48" t="s">
        <v>639</v>
      </c>
      <c r="N13" s="48" t="s">
        <v>639</v>
      </c>
      <c r="O13" s="18" t="s">
        <v>886</v>
      </c>
      <c r="P13" s="18" t="s">
        <v>901</v>
      </c>
      <c r="Q13" s="18" t="s">
        <v>888</v>
      </c>
      <c r="R13" s="40">
        <v>45923</v>
      </c>
      <c r="S13" s="19"/>
    </row>
    <row r="14" spans="1:19" ht="28.8" x14ac:dyDescent="0.3">
      <c r="A14" s="14">
        <v>12</v>
      </c>
      <c r="B14" s="15" t="s">
        <v>49</v>
      </c>
      <c r="C14" s="15" t="s">
        <v>885</v>
      </c>
      <c r="D14" s="15" t="s">
        <v>18</v>
      </c>
      <c r="E14" s="15" t="s">
        <v>619</v>
      </c>
      <c r="F14" s="15" t="s">
        <v>27</v>
      </c>
      <c r="G14" s="16" t="s">
        <v>618</v>
      </c>
      <c r="H14" s="16" t="s">
        <v>941</v>
      </c>
      <c r="I14" s="36" t="s">
        <v>497</v>
      </c>
      <c r="J14" s="36" t="s">
        <v>1241</v>
      </c>
      <c r="K14" s="16" t="s">
        <v>50</v>
      </c>
      <c r="L14" s="17" t="s">
        <v>852</v>
      </c>
      <c r="M14" s="48" t="s">
        <v>639</v>
      </c>
      <c r="N14" s="48" t="s">
        <v>639</v>
      </c>
      <c r="O14" s="18" t="s">
        <v>886</v>
      </c>
      <c r="P14" s="18" t="s">
        <v>903</v>
      </c>
      <c r="Q14" s="18" t="s">
        <v>888</v>
      </c>
      <c r="R14" s="40">
        <v>45923</v>
      </c>
      <c r="S14" s="19"/>
    </row>
    <row r="15" spans="1:19" ht="28.8" x14ac:dyDescent="0.3">
      <c r="A15" s="14">
        <v>13</v>
      </c>
      <c r="B15" s="15" t="s">
        <v>51</v>
      </c>
      <c r="C15" s="15" t="s">
        <v>885</v>
      </c>
      <c r="D15" s="15" t="s">
        <v>18</v>
      </c>
      <c r="E15" s="15" t="s">
        <v>620</v>
      </c>
      <c r="F15" s="15" t="s">
        <v>27</v>
      </c>
      <c r="G15" s="16" t="s">
        <v>621</v>
      </c>
      <c r="H15" s="16" t="s">
        <v>941</v>
      </c>
      <c r="I15" s="36" t="s">
        <v>505</v>
      </c>
      <c r="J15" s="36" t="s">
        <v>1245</v>
      </c>
      <c r="K15" s="16" t="s">
        <v>52</v>
      </c>
      <c r="L15" s="17" t="s">
        <v>852</v>
      </c>
      <c r="M15" s="48" t="s">
        <v>639</v>
      </c>
      <c r="N15" s="48" t="s">
        <v>639</v>
      </c>
      <c r="O15" s="18" t="s">
        <v>886</v>
      </c>
      <c r="P15" s="18" t="s">
        <v>902</v>
      </c>
      <c r="Q15" s="18" t="s">
        <v>888</v>
      </c>
      <c r="R15" s="40">
        <v>45923</v>
      </c>
      <c r="S15" s="19"/>
    </row>
    <row r="16" spans="1:19" ht="28.8" x14ac:dyDescent="0.3">
      <c r="A16" s="14">
        <v>14</v>
      </c>
      <c r="B16" s="15" t="s">
        <v>53</v>
      </c>
      <c r="C16" s="15" t="s">
        <v>885</v>
      </c>
      <c r="D16" s="15" t="s">
        <v>18</v>
      </c>
      <c r="E16" s="15" t="s">
        <v>623</v>
      </c>
      <c r="F16" s="15" t="s">
        <v>54</v>
      </c>
      <c r="G16" s="16" t="s">
        <v>622</v>
      </c>
      <c r="H16" s="16" t="s">
        <v>941</v>
      </c>
      <c r="I16" s="36" t="s">
        <v>506</v>
      </c>
      <c r="J16" s="36" t="s">
        <v>1241</v>
      </c>
      <c r="K16" s="16" t="s">
        <v>55</v>
      </c>
      <c r="L16" s="17" t="s">
        <v>852</v>
      </c>
      <c r="M16" s="48" t="s">
        <v>639</v>
      </c>
      <c r="N16" s="48" t="s">
        <v>639</v>
      </c>
      <c r="O16" s="18" t="s">
        <v>886</v>
      </c>
      <c r="P16" s="18" t="s">
        <v>904</v>
      </c>
      <c r="Q16" s="18" t="s">
        <v>888</v>
      </c>
      <c r="R16" s="40">
        <v>45923</v>
      </c>
      <c r="S16" s="19"/>
    </row>
    <row r="17" spans="1:19" ht="43.2" x14ac:dyDescent="0.3">
      <c r="A17" s="14">
        <v>15</v>
      </c>
      <c r="B17" s="15" t="s">
        <v>56</v>
      </c>
      <c r="C17" s="15" t="s">
        <v>885</v>
      </c>
      <c r="D17" s="15" t="s">
        <v>18</v>
      </c>
      <c r="E17" s="15" t="s">
        <v>624</v>
      </c>
      <c r="F17" s="15" t="s">
        <v>54</v>
      </c>
      <c r="G17" s="16" t="s">
        <v>56</v>
      </c>
      <c r="H17" s="16" t="s">
        <v>941</v>
      </c>
      <c r="I17" s="36" t="s">
        <v>507</v>
      </c>
      <c r="J17" s="36" t="s">
        <v>1241</v>
      </c>
      <c r="K17" s="16" t="s">
        <v>57</v>
      </c>
      <c r="L17" s="17" t="s">
        <v>852</v>
      </c>
      <c r="M17" s="48" t="s">
        <v>639</v>
      </c>
      <c r="N17" s="48" t="s">
        <v>639</v>
      </c>
      <c r="O17" s="18" t="s">
        <v>886</v>
      </c>
      <c r="P17" s="18" t="s">
        <v>905</v>
      </c>
      <c r="Q17" s="18" t="s">
        <v>888</v>
      </c>
      <c r="R17" s="40">
        <v>45923</v>
      </c>
      <c r="S17" s="19"/>
    </row>
    <row r="18" spans="1:19" ht="57.6" x14ac:dyDescent="0.3">
      <c r="A18" s="14">
        <v>16</v>
      </c>
      <c r="B18" s="15" t="s">
        <v>58</v>
      </c>
      <c r="C18" s="15" t="s">
        <v>885</v>
      </c>
      <c r="D18" s="15" t="s">
        <v>18</v>
      </c>
      <c r="E18" s="15" t="s">
        <v>623</v>
      </c>
      <c r="F18" s="15" t="s">
        <v>59</v>
      </c>
      <c r="G18" s="16" t="s">
        <v>625</v>
      </c>
      <c r="H18" s="16" t="s">
        <v>941</v>
      </c>
      <c r="I18" s="36" t="s">
        <v>508</v>
      </c>
      <c r="J18" s="36" t="s">
        <v>1242</v>
      </c>
      <c r="K18" s="16" t="s">
        <v>60</v>
      </c>
      <c r="L18" s="17" t="s">
        <v>852</v>
      </c>
      <c r="M18" s="48" t="s">
        <v>639</v>
      </c>
      <c r="N18" s="48" t="s">
        <v>639</v>
      </c>
      <c r="O18" s="18" t="s">
        <v>886</v>
      </c>
      <c r="P18" s="43" t="s">
        <v>906</v>
      </c>
      <c r="Q18" s="18" t="s">
        <v>888</v>
      </c>
      <c r="R18" s="40">
        <v>45923</v>
      </c>
      <c r="S18" s="19"/>
    </row>
    <row r="19" spans="1:19" ht="28.8" x14ac:dyDescent="0.3">
      <c r="A19" s="14">
        <v>17</v>
      </c>
      <c r="B19" s="15" t="s">
        <v>61</v>
      </c>
      <c r="C19" s="15" t="s">
        <v>1100</v>
      </c>
      <c r="D19" s="15" t="s">
        <v>18</v>
      </c>
      <c r="E19" s="15" t="s">
        <v>623</v>
      </c>
      <c r="F19" s="15" t="s">
        <v>62</v>
      </c>
      <c r="G19" s="16" t="s">
        <v>61</v>
      </c>
      <c r="H19" s="16" t="s">
        <v>941</v>
      </c>
      <c r="I19" s="36" t="s">
        <v>509</v>
      </c>
      <c r="J19" s="36" t="s">
        <v>1241</v>
      </c>
      <c r="K19" s="16" t="s">
        <v>63</v>
      </c>
      <c r="L19" s="17" t="s">
        <v>852</v>
      </c>
      <c r="M19" s="48" t="s">
        <v>639</v>
      </c>
      <c r="N19" s="48" t="s">
        <v>639</v>
      </c>
      <c r="O19" s="18" t="s">
        <v>886</v>
      </c>
      <c r="P19" s="18" t="s">
        <v>908</v>
      </c>
      <c r="Q19" s="18" t="s">
        <v>888</v>
      </c>
      <c r="R19" s="40">
        <v>45923</v>
      </c>
      <c r="S19" s="19"/>
    </row>
    <row r="20" spans="1:19" ht="28.8" x14ac:dyDescent="0.3">
      <c r="A20" s="14">
        <v>18</v>
      </c>
      <c r="B20" s="15" t="s">
        <v>64</v>
      </c>
      <c r="C20" s="15" t="s">
        <v>885</v>
      </c>
      <c r="D20" s="15" t="s">
        <v>18</v>
      </c>
      <c r="E20" s="15" t="s">
        <v>494</v>
      </c>
      <c r="F20" s="15" t="s">
        <v>65</v>
      </c>
      <c r="G20" s="16" t="s">
        <v>64</v>
      </c>
      <c r="H20" s="16" t="s">
        <v>941</v>
      </c>
      <c r="I20" s="36" t="s">
        <v>510</v>
      </c>
      <c r="J20" s="36" t="s">
        <v>1249</v>
      </c>
      <c r="K20" s="16" t="s">
        <v>66</v>
      </c>
      <c r="L20" s="17" t="s">
        <v>852</v>
      </c>
      <c r="M20" s="48" t="s">
        <v>639</v>
      </c>
      <c r="N20" s="48" t="s">
        <v>639</v>
      </c>
      <c r="O20" s="18" t="s">
        <v>886</v>
      </c>
      <c r="P20" s="18" t="s">
        <v>909</v>
      </c>
      <c r="Q20" s="18" t="s">
        <v>888</v>
      </c>
      <c r="R20" s="40">
        <v>45923</v>
      </c>
      <c r="S20" s="19"/>
    </row>
    <row r="21" spans="1:19" x14ac:dyDescent="0.3">
      <c r="A21" s="14">
        <v>19</v>
      </c>
      <c r="B21" s="15" t="s">
        <v>67</v>
      </c>
      <c r="C21" s="15" t="s">
        <v>885</v>
      </c>
      <c r="D21" s="15" t="s">
        <v>18</v>
      </c>
      <c r="E21" s="15" t="s">
        <v>627</v>
      </c>
      <c r="F21" s="15" t="s">
        <v>27</v>
      </c>
      <c r="G21" s="16" t="s">
        <v>626</v>
      </c>
      <c r="H21" s="45">
        <v>45866</v>
      </c>
      <c r="I21" s="36" t="s">
        <v>497</v>
      </c>
      <c r="J21" s="36" t="s">
        <v>1241</v>
      </c>
      <c r="K21" s="16" t="s">
        <v>68</v>
      </c>
      <c r="L21" s="17" t="s">
        <v>1097</v>
      </c>
      <c r="M21" s="17" t="s">
        <v>1144</v>
      </c>
      <c r="N21" s="17" t="s">
        <v>1226</v>
      </c>
      <c r="O21" s="18" t="s">
        <v>1152</v>
      </c>
      <c r="P21" s="43" t="s">
        <v>910</v>
      </c>
      <c r="Q21" s="18" t="s">
        <v>888</v>
      </c>
      <c r="R21" s="40">
        <v>45917</v>
      </c>
      <c r="S21" s="19"/>
    </row>
    <row r="22" spans="1:19" ht="43.2" x14ac:dyDescent="0.3">
      <c r="A22" s="14">
        <v>20</v>
      </c>
      <c r="B22" s="15" t="s">
        <v>69</v>
      </c>
      <c r="C22" s="15" t="s">
        <v>885</v>
      </c>
      <c r="D22" s="15" t="s">
        <v>18</v>
      </c>
      <c r="E22" s="15" t="s">
        <v>494</v>
      </c>
      <c r="F22" s="15" t="s">
        <v>54</v>
      </c>
      <c r="G22" s="16" t="s">
        <v>628</v>
      </c>
      <c r="H22" s="16" t="s">
        <v>941</v>
      </c>
      <c r="I22" s="36" t="s">
        <v>497</v>
      </c>
      <c r="J22" s="36" t="s">
        <v>1241</v>
      </c>
      <c r="K22" s="16" t="s">
        <v>70</v>
      </c>
      <c r="L22" s="17" t="s">
        <v>852</v>
      </c>
      <c r="M22" s="48" t="s">
        <v>639</v>
      </c>
      <c r="N22" s="48" t="s">
        <v>639</v>
      </c>
      <c r="O22" s="18" t="s">
        <v>886</v>
      </c>
      <c r="P22" s="18" t="s">
        <v>907</v>
      </c>
      <c r="Q22" s="18" t="s">
        <v>888</v>
      </c>
      <c r="R22" s="40">
        <v>45923</v>
      </c>
      <c r="S22" s="19"/>
    </row>
    <row r="23" spans="1:19" ht="28.8" x14ac:dyDescent="0.3">
      <c r="A23" s="14">
        <v>21</v>
      </c>
      <c r="B23" s="15" t="s">
        <v>71</v>
      </c>
      <c r="C23" s="15" t="s">
        <v>885</v>
      </c>
      <c r="D23" s="15" t="s">
        <v>18</v>
      </c>
      <c r="E23" s="15" t="s">
        <v>629</v>
      </c>
      <c r="F23" s="15" t="s">
        <v>72</v>
      </c>
      <c r="G23" s="16" t="s">
        <v>630</v>
      </c>
      <c r="H23" s="45">
        <v>44574</v>
      </c>
      <c r="I23" s="36" t="s">
        <v>511</v>
      </c>
      <c r="J23" s="36" t="s">
        <v>619</v>
      </c>
      <c r="K23" s="16" t="s">
        <v>73</v>
      </c>
      <c r="L23" s="17" t="s">
        <v>1097</v>
      </c>
      <c r="M23" s="17" t="s">
        <v>1144</v>
      </c>
      <c r="N23" s="17" t="s">
        <v>1226</v>
      </c>
      <c r="O23" s="18" t="s">
        <v>1152</v>
      </c>
      <c r="P23" s="43" t="s">
        <v>911</v>
      </c>
      <c r="Q23" s="18" t="s">
        <v>888</v>
      </c>
      <c r="R23" s="40">
        <v>45923</v>
      </c>
      <c r="S23" s="19"/>
    </row>
    <row r="24" spans="1:19" ht="28.8" x14ac:dyDescent="0.3">
      <c r="A24" s="14">
        <v>22</v>
      </c>
      <c r="B24" s="15" t="s">
        <v>74</v>
      </c>
      <c r="C24" s="15" t="s">
        <v>885</v>
      </c>
      <c r="D24" s="15" t="s">
        <v>18</v>
      </c>
      <c r="E24" s="15" t="s">
        <v>624</v>
      </c>
      <c r="F24" s="15" t="s">
        <v>75</v>
      </c>
      <c r="G24" s="16" t="s">
        <v>631</v>
      </c>
      <c r="H24" s="16" t="s">
        <v>941</v>
      </c>
      <c r="I24" s="36" t="s">
        <v>509</v>
      </c>
      <c r="J24" s="36" t="s">
        <v>1241</v>
      </c>
      <c r="K24" s="16" t="s">
        <v>76</v>
      </c>
      <c r="L24" s="17" t="s">
        <v>852</v>
      </c>
      <c r="M24" s="48" t="s">
        <v>639</v>
      </c>
      <c r="N24" s="48" t="s">
        <v>639</v>
      </c>
      <c r="O24" s="18" t="s">
        <v>886</v>
      </c>
      <c r="P24" s="18" t="s">
        <v>912</v>
      </c>
      <c r="Q24" s="18" t="s">
        <v>888</v>
      </c>
      <c r="R24" s="40">
        <v>45923</v>
      </c>
      <c r="S24" s="19"/>
    </row>
    <row r="25" spans="1:19" ht="43.2" x14ac:dyDescent="0.3">
      <c r="A25" s="14">
        <v>23</v>
      </c>
      <c r="B25" s="15" t="s">
        <v>77</v>
      </c>
      <c r="C25" s="15" t="s">
        <v>885</v>
      </c>
      <c r="D25" s="15" t="s">
        <v>18</v>
      </c>
      <c r="E25" s="15" t="s">
        <v>494</v>
      </c>
      <c r="F25" s="15" t="s">
        <v>78</v>
      </c>
      <c r="G25" s="16" t="s">
        <v>632</v>
      </c>
      <c r="H25" s="16" t="s">
        <v>941</v>
      </c>
      <c r="I25" s="36" t="s">
        <v>499</v>
      </c>
      <c r="J25" s="36" t="s">
        <v>1242</v>
      </c>
      <c r="K25" s="16" t="s">
        <v>79</v>
      </c>
      <c r="L25" s="17" t="s">
        <v>852</v>
      </c>
      <c r="M25" s="48" t="s">
        <v>639</v>
      </c>
      <c r="N25" s="48" t="s">
        <v>639</v>
      </c>
      <c r="O25" s="18" t="s">
        <v>886</v>
      </c>
      <c r="P25" s="18" t="s">
        <v>914</v>
      </c>
      <c r="Q25" s="18" t="s">
        <v>888</v>
      </c>
      <c r="R25" s="40">
        <v>45923</v>
      </c>
      <c r="S25" s="19"/>
    </row>
    <row r="26" spans="1:19" ht="28.8" x14ac:dyDescent="0.3">
      <c r="A26" s="14">
        <v>24</v>
      </c>
      <c r="B26" s="15" t="s">
        <v>80</v>
      </c>
      <c r="C26" s="15" t="s">
        <v>885</v>
      </c>
      <c r="D26" s="15" t="s">
        <v>18</v>
      </c>
      <c r="E26" s="15" t="s">
        <v>624</v>
      </c>
      <c r="F26" s="15" t="s">
        <v>27</v>
      </c>
      <c r="G26" s="16" t="s">
        <v>633</v>
      </c>
      <c r="H26" s="45">
        <v>44965</v>
      </c>
      <c r="I26" s="36" t="s">
        <v>512</v>
      </c>
      <c r="J26" s="36" t="s">
        <v>1249</v>
      </c>
      <c r="K26" s="16" t="s">
        <v>81</v>
      </c>
      <c r="L26" s="17" t="s">
        <v>1097</v>
      </c>
      <c r="M26" s="17" t="s">
        <v>1144</v>
      </c>
      <c r="N26" s="17" t="s">
        <v>1226</v>
      </c>
      <c r="O26" s="18" t="s">
        <v>1152</v>
      </c>
      <c r="P26" s="43" t="s">
        <v>913</v>
      </c>
      <c r="Q26" s="18" t="s">
        <v>888</v>
      </c>
      <c r="R26" s="40">
        <v>45923</v>
      </c>
      <c r="S26" s="19"/>
    </row>
    <row r="27" spans="1:19" ht="43.2" x14ac:dyDescent="0.3">
      <c r="A27" s="14">
        <v>25</v>
      </c>
      <c r="B27" s="15" t="s">
        <v>82</v>
      </c>
      <c r="C27" s="15" t="s">
        <v>1100</v>
      </c>
      <c r="D27" s="15" t="s">
        <v>28</v>
      </c>
      <c r="E27" s="15" t="s">
        <v>635</v>
      </c>
      <c r="F27" s="15" t="s">
        <v>27</v>
      </c>
      <c r="G27" s="16" t="s">
        <v>634</v>
      </c>
      <c r="H27" s="16" t="s">
        <v>941</v>
      </c>
      <c r="I27" s="36" t="s">
        <v>507</v>
      </c>
      <c r="J27" s="36" t="s">
        <v>1241</v>
      </c>
      <c r="K27" s="16" t="s">
        <v>83</v>
      </c>
      <c r="L27" s="17" t="s">
        <v>852</v>
      </c>
      <c r="M27" s="48" t="s">
        <v>639</v>
      </c>
      <c r="N27" s="48" t="s">
        <v>639</v>
      </c>
      <c r="O27" s="18" t="s">
        <v>886</v>
      </c>
      <c r="P27" s="18" t="s">
        <v>918</v>
      </c>
      <c r="Q27" s="18" t="s">
        <v>868</v>
      </c>
      <c r="R27" s="40">
        <v>45923</v>
      </c>
      <c r="S27" s="19"/>
    </row>
    <row r="28" spans="1:19" ht="57.6" x14ac:dyDescent="0.3">
      <c r="A28" s="14">
        <v>26</v>
      </c>
      <c r="B28" s="15" t="s">
        <v>84</v>
      </c>
      <c r="C28" s="15" t="s">
        <v>885</v>
      </c>
      <c r="D28" s="15" t="s">
        <v>85</v>
      </c>
      <c r="E28" s="15" t="s">
        <v>624</v>
      </c>
      <c r="F28" s="15" t="s">
        <v>27</v>
      </c>
      <c r="G28" s="16" t="s">
        <v>636</v>
      </c>
      <c r="H28" s="45">
        <v>44998</v>
      </c>
      <c r="I28" s="36" t="s">
        <v>513</v>
      </c>
      <c r="J28" s="36" t="s">
        <v>619</v>
      </c>
      <c r="K28" s="16" t="s">
        <v>1247</v>
      </c>
      <c r="L28" s="17" t="s">
        <v>1097</v>
      </c>
      <c r="M28" s="17" t="s">
        <v>1140</v>
      </c>
      <c r="N28" s="17" t="s">
        <v>1226</v>
      </c>
      <c r="O28" s="18" t="s">
        <v>1152</v>
      </c>
      <c r="P28" s="43" t="s">
        <v>919</v>
      </c>
      <c r="Q28" s="18" t="s">
        <v>888</v>
      </c>
      <c r="R28" s="40">
        <v>45917</v>
      </c>
      <c r="S28" s="19"/>
    </row>
    <row r="29" spans="1:19" ht="43.2" x14ac:dyDescent="0.3">
      <c r="A29" s="14">
        <v>27</v>
      </c>
      <c r="B29" s="15" t="s">
        <v>86</v>
      </c>
      <c r="C29" s="15" t="s">
        <v>885</v>
      </c>
      <c r="D29" s="15" t="s">
        <v>18</v>
      </c>
      <c r="E29" s="15" t="s">
        <v>638</v>
      </c>
      <c r="F29" s="15" t="s">
        <v>75</v>
      </c>
      <c r="G29" s="16" t="s">
        <v>637</v>
      </c>
      <c r="H29" s="16" t="s">
        <v>941</v>
      </c>
      <c r="I29" s="36" t="s">
        <v>514</v>
      </c>
      <c r="J29" s="36" t="s">
        <v>1248</v>
      </c>
      <c r="K29" s="16" t="s">
        <v>87</v>
      </c>
      <c r="L29" s="17" t="s">
        <v>852</v>
      </c>
      <c r="M29" s="48" t="s">
        <v>639</v>
      </c>
      <c r="N29" s="48" t="s">
        <v>639</v>
      </c>
      <c r="O29" s="18" t="s">
        <v>886</v>
      </c>
      <c r="P29" s="18" t="s">
        <v>920</v>
      </c>
      <c r="Q29" s="18" t="s">
        <v>888</v>
      </c>
      <c r="R29" s="40">
        <v>45923</v>
      </c>
      <c r="S29" s="19"/>
    </row>
    <row r="30" spans="1:19" ht="43.2" x14ac:dyDescent="0.3">
      <c r="A30" s="14">
        <v>28</v>
      </c>
      <c r="B30" s="15" t="s">
        <v>88</v>
      </c>
      <c r="C30" s="15" t="s">
        <v>885</v>
      </c>
      <c r="D30" s="15" t="s">
        <v>28</v>
      </c>
      <c r="E30" s="15" t="s">
        <v>639</v>
      </c>
      <c r="F30" s="15" t="s">
        <v>75</v>
      </c>
      <c r="G30" s="16" t="s">
        <v>88</v>
      </c>
      <c r="H30" s="16" t="s">
        <v>941</v>
      </c>
      <c r="I30" s="36" t="s">
        <v>515</v>
      </c>
      <c r="J30" s="36" t="s">
        <v>1242</v>
      </c>
      <c r="K30" s="16" t="s">
        <v>89</v>
      </c>
      <c r="L30" s="17" t="s">
        <v>852</v>
      </c>
      <c r="M30" s="48" t="s">
        <v>639</v>
      </c>
      <c r="N30" s="48" t="s">
        <v>639</v>
      </c>
      <c r="O30" s="18" t="s">
        <v>886</v>
      </c>
      <c r="P30" s="43" t="s">
        <v>921</v>
      </c>
      <c r="Q30" s="18" t="s">
        <v>888</v>
      </c>
      <c r="R30" s="40">
        <v>45923</v>
      </c>
      <c r="S30" s="19"/>
    </row>
    <row r="31" spans="1:19" ht="43.2" x14ac:dyDescent="0.3">
      <c r="A31" s="14">
        <v>29</v>
      </c>
      <c r="B31" s="15" t="s">
        <v>90</v>
      </c>
      <c r="C31" s="15" t="s">
        <v>885</v>
      </c>
      <c r="D31" s="15" t="s">
        <v>18</v>
      </c>
      <c r="E31" s="15" t="s">
        <v>494</v>
      </c>
      <c r="F31" s="15" t="s">
        <v>21</v>
      </c>
      <c r="G31" s="16" t="s">
        <v>640</v>
      </c>
      <c r="H31" s="16" t="s">
        <v>941</v>
      </c>
      <c r="I31" s="36" t="s">
        <v>516</v>
      </c>
      <c r="J31" s="36" t="s">
        <v>1242</v>
      </c>
      <c r="K31" s="16" t="s">
        <v>91</v>
      </c>
      <c r="L31" s="17" t="s">
        <v>852</v>
      </c>
      <c r="M31" s="48" t="s">
        <v>639</v>
      </c>
      <c r="N31" s="48" t="s">
        <v>639</v>
      </c>
      <c r="O31" s="18" t="s">
        <v>886</v>
      </c>
      <c r="P31" s="18" t="s">
        <v>922</v>
      </c>
      <c r="Q31" s="18" t="s">
        <v>888</v>
      </c>
      <c r="R31" s="40">
        <v>45923</v>
      </c>
      <c r="S31" s="19"/>
    </row>
    <row r="32" spans="1:19" ht="43.2" x14ac:dyDescent="0.3">
      <c r="A32" s="14">
        <v>30</v>
      </c>
      <c r="B32" s="15" t="s">
        <v>92</v>
      </c>
      <c r="C32" s="15" t="s">
        <v>885</v>
      </c>
      <c r="D32" s="15" t="s">
        <v>18</v>
      </c>
      <c r="E32" s="15" t="s">
        <v>494</v>
      </c>
      <c r="F32" s="15" t="s">
        <v>27</v>
      </c>
      <c r="G32" s="16" t="s">
        <v>641</v>
      </c>
      <c r="H32" s="16" t="s">
        <v>941</v>
      </c>
      <c r="I32" s="36" t="s">
        <v>517</v>
      </c>
      <c r="J32" s="36" t="s">
        <v>1249</v>
      </c>
      <c r="K32" s="16" t="s">
        <v>93</v>
      </c>
      <c r="L32" s="17" t="s">
        <v>852</v>
      </c>
      <c r="M32" s="48" t="s">
        <v>639</v>
      </c>
      <c r="N32" s="48" t="s">
        <v>639</v>
      </c>
      <c r="O32" s="18" t="s">
        <v>886</v>
      </c>
      <c r="P32" s="18" t="s">
        <v>923</v>
      </c>
      <c r="Q32" s="18" t="s">
        <v>888</v>
      </c>
      <c r="R32" s="40">
        <v>45923</v>
      </c>
      <c r="S32" s="19"/>
    </row>
    <row r="33" spans="1:19" ht="43.2" x14ac:dyDescent="0.3">
      <c r="A33" s="14">
        <v>31</v>
      </c>
      <c r="B33" s="15" t="s">
        <v>94</v>
      </c>
      <c r="C33" s="15" t="s">
        <v>885</v>
      </c>
      <c r="D33" s="15" t="s">
        <v>18</v>
      </c>
      <c r="E33" s="15" t="s">
        <v>643</v>
      </c>
      <c r="F33" s="15" t="s">
        <v>95</v>
      </c>
      <c r="G33" s="16" t="s">
        <v>642</v>
      </c>
      <c r="H33" s="16" t="s">
        <v>941</v>
      </c>
      <c r="I33" s="36" t="s">
        <v>518</v>
      </c>
      <c r="J33" s="36" t="s">
        <v>1241</v>
      </c>
      <c r="K33" s="16" t="s">
        <v>96</v>
      </c>
      <c r="L33" s="17" t="s">
        <v>852</v>
      </c>
      <c r="M33" s="48" t="s">
        <v>639</v>
      </c>
      <c r="N33" s="48" t="s">
        <v>639</v>
      </c>
      <c r="O33" s="18" t="s">
        <v>886</v>
      </c>
      <c r="P33" s="18" t="s">
        <v>924</v>
      </c>
      <c r="Q33" s="18" t="s">
        <v>888</v>
      </c>
      <c r="R33" s="40">
        <v>45923</v>
      </c>
      <c r="S33" s="19"/>
    </row>
    <row r="34" spans="1:19" ht="43.2" x14ac:dyDescent="0.3">
      <c r="A34" s="14">
        <v>32</v>
      </c>
      <c r="B34" s="15" t="s">
        <v>97</v>
      </c>
      <c r="C34" s="15" t="s">
        <v>885</v>
      </c>
      <c r="D34" s="15" t="s">
        <v>18</v>
      </c>
      <c r="E34" s="15" t="s">
        <v>494</v>
      </c>
      <c r="F34" s="15" t="s">
        <v>78</v>
      </c>
      <c r="G34" s="16" t="s">
        <v>644</v>
      </c>
      <c r="H34" s="16" t="s">
        <v>941</v>
      </c>
      <c r="I34" s="36" t="s">
        <v>497</v>
      </c>
      <c r="J34" s="36" t="s">
        <v>1241</v>
      </c>
      <c r="K34" s="16" t="s">
        <v>98</v>
      </c>
      <c r="L34" s="17" t="s">
        <v>852</v>
      </c>
      <c r="M34" s="48" t="s">
        <v>639</v>
      </c>
      <c r="N34" s="48" t="s">
        <v>639</v>
      </c>
      <c r="O34" s="18" t="s">
        <v>886</v>
      </c>
      <c r="P34" s="18" t="s">
        <v>926</v>
      </c>
      <c r="Q34" s="18" t="s">
        <v>888</v>
      </c>
      <c r="R34" s="40">
        <v>45923</v>
      </c>
      <c r="S34" s="19"/>
    </row>
    <row r="35" spans="1:19" ht="100.8" x14ac:dyDescent="0.3">
      <c r="A35" s="14">
        <v>33</v>
      </c>
      <c r="B35" s="15" t="s">
        <v>99</v>
      </c>
      <c r="C35" s="15" t="s">
        <v>885</v>
      </c>
      <c r="D35" s="15" t="s">
        <v>18</v>
      </c>
      <c r="E35" s="15" t="s">
        <v>494</v>
      </c>
      <c r="F35" s="15" t="s">
        <v>100</v>
      </c>
      <c r="G35" s="16" t="s">
        <v>645</v>
      </c>
      <c r="H35" s="16" t="s">
        <v>941</v>
      </c>
      <c r="I35" s="36" t="s">
        <v>504</v>
      </c>
      <c r="J35" s="36" t="s">
        <v>1246</v>
      </c>
      <c r="K35" s="16" t="s">
        <v>101</v>
      </c>
      <c r="L35" s="17" t="s">
        <v>852</v>
      </c>
      <c r="M35" s="48" t="s">
        <v>639</v>
      </c>
      <c r="N35" s="48" t="s">
        <v>639</v>
      </c>
      <c r="O35" s="18" t="s">
        <v>886</v>
      </c>
      <c r="P35" s="18" t="s">
        <v>925</v>
      </c>
      <c r="Q35" s="18" t="s">
        <v>888</v>
      </c>
      <c r="R35" s="40">
        <v>45923</v>
      </c>
      <c r="S35" s="19"/>
    </row>
    <row r="36" spans="1:19" ht="43.2" x14ac:dyDescent="0.3">
      <c r="A36" s="14">
        <v>34</v>
      </c>
      <c r="B36" s="15" t="s">
        <v>102</v>
      </c>
      <c r="C36" s="15" t="s">
        <v>1100</v>
      </c>
      <c r="D36" s="15" t="s">
        <v>18</v>
      </c>
      <c r="E36" s="15" t="s">
        <v>623</v>
      </c>
      <c r="F36" s="15" t="s">
        <v>103</v>
      </c>
      <c r="G36" s="16" t="s">
        <v>646</v>
      </c>
      <c r="H36" s="16" t="s">
        <v>941</v>
      </c>
      <c r="I36" s="36" t="s">
        <v>519</v>
      </c>
      <c r="J36" s="36" t="s">
        <v>619</v>
      </c>
      <c r="K36" s="16" t="s">
        <v>104</v>
      </c>
      <c r="L36" s="17" t="s">
        <v>852</v>
      </c>
      <c r="M36" s="48" t="s">
        <v>639</v>
      </c>
      <c r="N36" s="48" t="s">
        <v>639</v>
      </c>
      <c r="O36" s="18" t="s">
        <v>886</v>
      </c>
      <c r="P36" s="18" t="s">
        <v>927</v>
      </c>
      <c r="Q36" s="18" t="s">
        <v>888</v>
      </c>
      <c r="R36" s="40">
        <v>45923</v>
      </c>
      <c r="S36" s="19"/>
    </row>
    <row r="37" spans="1:19" ht="43.2" x14ac:dyDescent="0.3">
      <c r="A37" s="14">
        <v>35</v>
      </c>
      <c r="B37" s="15" t="s">
        <v>105</v>
      </c>
      <c r="C37" s="15" t="s">
        <v>885</v>
      </c>
      <c r="D37" s="15" t="s">
        <v>18</v>
      </c>
      <c r="E37" s="15" t="s">
        <v>494</v>
      </c>
      <c r="F37" s="15" t="s">
        <v>54</v>
      </c>
      <c r="G37" s="16" t="s">
        <v>647</v>
      </c>
      <c r="H37" s="16" t="s">
        <v>941</v>
      </c>
      <c r="I37" s="36" t="s">
        <v>499</v>
      </c>
      <c r="J37" s="36" t="s">
        <v>1248</v>
      </c>
      <c r="K37" s="16" t="s">
        <v>106</v>
      </c>
      <c r="L37" s="17" t="s">
        <v>852</v>
      </c>
      <c r="M37" s="48" t="s">
        <v>639</v>
      </c>
      <c r="N37" s="48" t="s">
        <v>639</v>
      </c>
      <c r="O37" s="18" t="s">
        <v>886</v>
      </c>
      <c r="P37" s="18" t="s">
        <v>928</v>
      </c>
      <c r="Q37" s="18" t="s">
        <v>888</v>
      </c>
      <c r="R37" s="40">
        <v>45923</v>
      </c>
      <c r="S37" s="19"/>
    </row>
    <row r="38" spans="1:19" ht="43.2" x14ac:dyDescent="0.3">
      <c r="A38" s="14">
        <v>36</v>
      </c>
      <c r="B38" s="15" t="s">
        <v>107</v>
      </c>
      <c r="C38" s="15" t="s">
        <v>885</v>
      </c>
      <c r="D38" s="15" t="s">
        <v>28</v>
      </c>
      <c r="E38" s="15" t="s">
        <v>491</v>
      </c>
      <c r="F38" s="15" t="s">
        <v>27</v>
      </c>
      <c r="G38" s="16" t="s">
        <v>648</v>
      </c>
      <c r="H38" s="16" t="s">
        <v>941</v>
      </c>
      <c r="I38" s="36" t="s">
        <v>520</v>
      </c>
      <c r="J38" s="36" t="s">
        <v>619</v>
      </c>
      <c r="K38" s="16" t="s">
        <v>108</v>
      </c>
      <c r="L38" s="17" t="s">
        <v>852</v>
      </c>
      <c r="M38" s="48" t="s">
        <v>639</v>
      </c>
      <c r="N38" s="48" t="s">
        <v>639</v>
      </c>
      <c r="O38" s="18" t="s">
        <v>886</v>
      </c>
      <c r="P38" s="18" t="s">
        <v>929</v>
      </c>
      <c r="Q38" s="18" t="s">
        <v>888</v>
      </c>
      <c r="R38" s="40">
        <v>45923</v>
      </c>
      <c r="S38" s="19"/>
    </row>
    <row r="39" spans="1:19" ht="28.8" x14ac:dyDescent="0.3">
      <c r="A39" s="14">
        <v>37</v>
      </c>
      <c r="B39" s="15" t="s">
        <v>109</v>
      </c>
      <c r="C39" s="15" t="s">
        <v>885</v>
      </c>
      <c r="D39" s="15" t="s">
        <v>18</v>
      </c>
      <c r="E39" s="15" t="s">
        <v>650</v>
      </c>
      <c r="F39" s="15" t="s">
        <v>54</v>
      </c>
      <c r="G39" s="16" t="s">
        <v>649</v>
      </c>
      <c r="H39" s="16" t="s">
        <v>941</v>
      </c>
      <c r="I39" s="36" t="s">
        <v>521</v>
      </c>
      <c r="J39" s="36" t="s">
        <v>619</v>
      </c>
      <c r="K39" s="16" t="s">
        <v>110</v>
      </c>
      <c r="L39" s="17" t="s">
        <v>852</v>
      </c>
      <c r="M39" s="48" t="s">
        <v>639</v>
      </c>
      <c r="N39" s="48" t="s">
        <v>639</v>
      </c>
      <c r="O39" s="18" t="s">
        <v>886</v>
      </c>
      <c r="P39" s="18" t="s">
        <v>933</v>
      </c>
      <c r="Q39" s="18" t="s">
        <v>888</v>
      </c>
      <c r="R39" s="40">
        <v>45923</v>
      </c>
      <c r="S39" s="19"/>
    </row>
    <row r="40" spans="1:19" ht="28.8" x14ac:dyDescent="0.3">
      <c r="A40" s="14">
        <v>38</v>
      </c>
      <c r="B40" s="15" t="s">
        <v>111</v>
      </c>
      <c r="C40" s="15" t="s">
        <v>885</v>
      </c>
      <c r="D40" s="15" t="s">
        <v>35</v>
      </c>
      <c r="E40" s="15" t="s">
        <v>494</v>
      </c>
      <c r="F40" s="15" t="s">
        <v>27</v>
      </c>
      <c r="G40" s="16" t="s">
        <v>111</v>
      </c>
      <c r="H40" s="16" t="s">
        <v>941</v>
      </c>
      <c r="I40" s="36" t="s">
        <v>507</v>
      </c>
      <c r="J40" s="36" t="s">
        <v>1241</v>
      </c>
      <c r="K40" s="16" t="s">
        <v>112</v>
      </c>
      <c r="L40" s="17" t="s">
        <v>852</v>
      </c>
      <c r="M40" s="48" t="s">
        <v>639</v>
      </c>
      <c r="N40" s="48" t="s">
        <v>639</v>
      </c>
      <c r="O40" s="18" t="s">
        <v>886</v>
      </c>
      <c r="P40" s="18" t="s">
        <v>930</v>
      </c>
      <c r="Q40" s="18" t="s">
        <v>868</v>
      </c>
      <c r="R40" s="40">
        <v>45923</v>
      </c>
      <c r="S40" s="19"/>
    </row>
    <row r="41" spans="1:19" ht="28.8" x14ac:dyDescent="0.3">
      <c r="A41" s="14">
        <v>39</v>
      </c>
      <c r="B41" s="15" t="s">
        <v>113</v>
      </c>
      <c r="C41" s="15" t="s">
        <v>885</v>
      </c>
      <c r="D41" s="15" t="s">
        <v>18</v>
      </c>
      <c r="E41" s="15" t="s">
        <v>494</v>
      </c>
      <c r="F41" s="15" t="s">
        <v>54</v>
      </c>
      <c r="G41" s="16" t="s">
        <v>651</v>
      </c>
      <c r="H41" s="45">
        <v>45321</v>
      </c>
      <c r="I41" s="36" t="s">
        <v>522</v>
      </c>
      <c r="J41" s="36" t="s">
        <v>1249</v>
      </c>
      <c r="K41" s="16" t="s">
        <v>114</v>
      </c>
      <c r="L41" s="17" t="s">
        <v>1097</v>
      </c>
      <c r="M41" s="17" t="s">
        <v>1144</v>
      </c>
      <c r="N41" s="17" t="s">
        <v>1226</v>
      </c>
      <c r="O41" s="18" t="s">
        <v>1152</v>
      </c>
      <c r="P41" s="43" t="s">
        <v>931</v>
      </c>
      <c r="Q41" s="18" t="s">
        <v>888</v>
      </c>
      <c r="R41" s="40">
        <v>45923</v>
      </c>
      <c r="S41" s="19" t="s">
        <v>934</v>
      </c>
    </row>
    <row r="42" spans="1:19" ht="43.2" x14ac:dyDescent="0.3">
      <c r="A42" s="14">
        <v>40</v>
      </c>
      <c r="B42" s="15" t="s">
        <v>115</v>
      </c>
      <c r="C42" s="15" t="s">
        <v>885</v>
      </c>
      <c r="D42" s="15" t="s">
        <v>18</v>
      </c>
      <c r="E42" s="15" t="s">
        <v>494</v>
      </c>
      <c r="F42" s="15" t="s">
        <v>27</v>
      </c>
      <c r="G42" s="16" t="s">
        <v>652</v>
      </c>
      <c r="H42" s="16" t="s">
        <v>941</v>
      </c>
      <c r="I42" s="36" t="s">
        <v>497</v>
      </c>
      <c r="J42" s="36" t="s">
        <v>1248</v>
      </c>
      <c r="K42" s="16" t="s">
        <v>116</v>
      </c>
      <c r="L42" s="17" t="s">
        <v>852</v>
      </c>
      <c r="M42" s="48" t="s">
        <v>639</v>
      </c>
      <c r="N42" s="48" t="s">
        <v>639</v>
      </c>
      <c r="O42" s="18" t="s">
        <v>886</v>
      </c>
      <c r="P42" s="18" t="s">
        <v>932</v>
      </c>
      <c r="Q42" s="18" t="s">
        <v>888</v>
      </c>
      <c r="R42" s="40">
        <v>45923</v>
      </c>
      <c r="S42" s="19"/>
    </row>
    <row r="43" spans="1:19" ht="43.2" x14ac:dyDescent="0.3">
      <c r="A43" s="14">
        <v>41</v>
      </c>
      <c r="B43" s="15" t="s">
        <v>117</v>
      </c>
      <c r="C43" s="15" t="s">
        <v>885</v>
      </c>
      <c r="D43" s="15" t="s">
        <v>28</v>
      </c>
      <c r="E43" s="15" t="s">
        <v>487</v>
      </c>
      <c r="F43" s="15" t="s">
        <v>27</v>
      </c>
      <c r="G43" s="16" t="s">
        <v>653</v>
      </c>
      <c r="H43" s="45">
        <v>45425</v>
      </c>
      <c r="I43" s="36" t="s">
        <v>523</v>
      </c>
      <c r="J43" s="36" t="s">
        <v>1246</v>
      </c>
      <c r="K43" s="16" t="s">
        <v>118</v>
      </c>
      <c r="L43" s="17" t="s">
        <v>1097</v>
      </c>
      <c r="M43" s="17" t="s">
        <v>1141</v>
      </c>
      <c r="N43" s="17" t="s">
        <v>1226</v>
      </c>
      <c r="O43" s="18" t="s">
        <v>1152</v>
      </c>
      <c r="P43" s="43" t="s">
        <v>1093</v>
      </c>
      <c r="Q43" s="18" t="s">
        <v>868</v>
      </c>
      <c r="R43" s="40">
        <v>45917</v>
      </c>
      <c r="S43" s="19"/>
    </row>
    <row r="44" spans="1:19" ht="28.8" x14ac:dyDescent="0.3">
      <c r="A44" s="14">
        <v>42</v>
      </c>
      <c r="B44" s="15" t="s">
        <v>119</v>
      </c>
      <c r="C44" s="15" t="s">
        <v>885</v>
      </c>
      <c r="D44" s="15" t="s">
        <v>35</v>
      </c>
      <c r="E44" s="15" t="s">
        <v>655</v>
      </c>
      <c r="F44" s="15" t="s">
        <v>27</v>
      </c>
      <c r="G44" s="16" t="s">
        <v>654</v>
      </c>
      <c r="H44" s="16" t="s">
        <v>941</v>
      </c>
      <c r="I44" s="36" t="s">
        <v>524</v>
      </c>
      <c r="J44" s="36" t="s">
        <v>1248</v>
      </c>
      <c r="K44" s="16" t="s">
        <v>120</v>
      </c>
      <c r="L44" s="17" t="s">
        <v>852</v>
      </c>
      <c r="M44" s="48" t="s">
        <v>639</v>
      </c>
      <c r="N44" s="48" t="s">
        <v>639</v>
      </c>
      <c r="O44" s="18" t="s">
        <v>886</v>
      </c>
      <c r="P44" s="18" t="s">
        <v>936</v>
      </c>
      <c r="Q44" s="18" t="s">
        <v>888</v>
      </c>
      <c r="R44" s="40">
        <v>45923</v>
      </c>
      <c r="S44" s="19"/>
    </row>
    <row r="45" spans="1:19" x14ac:dyDescent="0.3">
      <c r="A45" s="14">
        <v>43</v>
      </c>
      <c r="B45" s="15" t="s">
        <v>121</v>
      </c>
      <c r="C45" s="15" t="s">
        <v>885</v>
      </c>
      <c r="D45" s="15" t="s">
        <v>18</v>
      </c>
      <c r="E45" s="15" t="s">
        <v>494</v>
      </c>
      <c r="F45" s="15" t="s">
        <v>100</v>
      </c>
      <c r="G45" s="16" t="s">
        <v>656</v>
      </c>
      <c r="H45" s="45">
        <v>45097</v>
      </c>
      <c r="I45" s="36" t="s">
        <v>525</v>
      </c>
      <c r="J45" s="36" t="s">
        <v>1246</v>
      </c>
      <c r="K45" s="16" t="s">
        <v>122</v>
      </c>
      <c r="L45" s="17" t="s">
        <v>1097</v>
      </c>
      <c r="M45" s="17" t="s">
        <v>1144</v>
      </c>
      <c r="N45" s="17" t="s">
        <v>1226</v>
      </c>
      <c r="O45" s="18" t="s">
        <v>1152</v>
      </c>
      <c r="P45" s="43" t="s">
        <v>935</v>
      </c>
      <c r="Q45" s="18" t="s">
        <v>888</v>
      </c>
      <c r="R45" s="40">
        <v>45923</v>
      </c>
      <c r="S45" s="19"/>
    </row>
    <row r="46" spans="1:19" ht="43.2" x14ac:dyDescent="0.3">
      <c r="A46" s="14">
        <v>44</v>
      </c>
      <c r="B46" s="15" t="s">
        <v>123</v>
      </c>
      <c r="C46" s="15" t="s">
        <v>885</v>
      </c>
      <c r="D46" s="15" t="s">
        <v>18</v>
      </c>
      <c r="E46" s="15" t="s">
        <v>494</v>
      </c>
      <c r="F46" s="15" t="s">
        <v>27</v>
      </c>
      <c r="G46" s="16" t="s">
        <v>657</v>
      </c>
      <c r="H46" s="45">
        <v>45434</v>
      </c>
      <c r="I46" s="36" t="s">
        <v>525</v>
      </c>
      <c r="J46" s="36" t="s">
        <v>1248</v>
      </c>
      <c r="K46" s="16" t="s">
        <v>124</v>
      </c>
      <c r="L46" s="17" t="s">
        <v>1097</v>
      </c>
      <c r="M46" s="17" t="s">
        <v>1142</v>
      </c>
      <c r="N46" s="17" t="s">
        <v>1226</v>
      </c>
      <c r="O46" s="18" t="s">
        <v>1152</v>
      </c>
      <c r="P46" s="43" t="s">
        <v>1153</v>
      </c>
      <c r="Q46" s="18"/>
      <c r="R46" s="40">
        <v>45917</v>
      </c>
      <c r="S46" s="19"/>
    </row>
    <row r="47" spans="1:19" ht="28.8" x14ac:dyDescent="0.3">
      <c r="A47" s="14">
        <v>45</v>
      </c>
      <c r="B47" s="15" t="s">
        <v>125</v>
      </c>
      <c r="C47" s="15" t="s">
        <v>885</v>
      </c>
      <c r="D47" s="15" t="s">
        <v>18</v>
      </c>
      <c r="E47" s="15" t="s">
        <v>659</v>
      </c>
      <c r="F47" s="15" t="s">
        <v>126</v>
      </c>
      <c r="G47" s="16" t="s">
        <v>658</v>
      </c>
      <c r="H47" s="16" t="s">
        <v>941</v>
      </c>
      <c r="I47" s="36" t="s">
        <v>526</v>
      </c>
      <c r="J47" s="36" t="s">
        <v>1248</v>
      </c>
      <c r="K47" s="16" t="s">
        <v>127</v>
      </c>
      <c r="L47" s="17" t="s">
        <v>852</v>
      </c>
      <c r="M47" s="48" t="s">
        <v>639</v>
      </c>
      <c r="N47" s="48" t="s">
        <v>639</v>
      </c>
      <c r="O47" s="18" t="s">
        <v>886</v>
      </c>
      <c r="P47" s="18" t="s">
        <v>937</v>
      </c>
      <c r="Q47" s="18" t="s">
        <v>888</v>
      </c>
      <c r="R47" s="40">
        <v>45923</v>
      </c>
      <c r="S47" s="19"/>
    </row>
    <row r="48" spans="1:19" ht="43.2" x14ac:dyDescent="0.3">
      <c r="A48" s="14">
        <v>46</v>
      </c>
      <c r="B48" s="15" t="s">
        <v>128</v>
      </c>
      <c r="C48" s="15" t="s">
        <v>885</v>
      </c>
      <c r="D48" s="15" t="s">
        <v>18</v>
      </c>
      <c r="E48" s="15" t="s">
        <v>623</v>
      </c>
      <c r="F48" s="15" t="s">
        <v>47</v>
      </c>
      <c r="G48" s="16" t="s">
        <v>660</v>
      </c>
      <c r="H48" s="45">
        <v>44165</v>
      </c>
      <c r="I48" s="36" t="s">
        <v>527</v>
      </c>
      <c r="J48" s="36" t="s">
        <v>1248</v>
      </c>
      <c r="K48" s="16" t="s">
        <v>129</v>
      </c>
      <c r="L48" s="17" t="s">
        <v>1097</v>
      </c>
      <c r="M48" s="17" t="s">
        <v>1144</v>
      </c>
      <c r="N48" s="17" t="s">
        <v>1226</v>
      </c>
      <c r="O48" s="18" t="s">
        <v>1152</v>
      </c>
      <c r="P48" s="43" t="s">
        <v>1094</v>
      </c>
      <c r="Q48" s="18" t="s">
        <v>868</v>
      </c>
      <c r="R48" s="40">
        <v>45917</v>
      </c>
      <c r="S48" s="19"/>
    </row>
    <row r="49" spans="1:19" ht="43.2" x14ac:dyDescent="0.3">
      <c r="A49" s="14">
        <v>47</v>
      </c>
      <c r="B49" s="15" t="s">
        <v>130</v>
      </c>
      <c r="C49" s="15" t="s">
        <v>885</v>
      </c>
      <c r="D49" s="15" t="s">
        <v>18</v>
      </c>
      <c r="E49" s="15" t="s">
        <v>494</v>
      </c>
      <c r="F49" s="15" t="s">
        <v>54</v>
      </c>
      <c r="G49" s="16" t="s">
        <v>653</v>
      </c>
      <c r="H49" s="45">
        <v>44740</v>
      </c>
      <c r="I49" s="36" t="s">
        <v>528</v>
      </c>
      <c r="J49" s="36" t="s">
        <v>1243</v>
      </c>
      <c r="K49" s="16" t="s">
        <v>131</v>
      </c>
      <c r="L49" s="17" t="s">
        <v>1097</v>
      </c>
      <c r="M49" s="17" t="s">
        <v>1144</v>
      </c>
      <c r="N49" s="17" t="s">
        <v>1226</v>
      </c>
      <c r="O49" s="18" t="s">
        <v>1152</v>
      </c>
      <c r="P49" s="43" t="s">
        <v>1148</v>
      </c>
      <c r="Q49" s="18" t="s">
        <v>868</v>
      </c>
      <c r="R49" s="40">
        <v>45923</v>
      </c>
      <c r="S49" s="44" t="s">
        <v>1228</v>
      </c>
    </row>
    <row r="50" spans="1:19" ht="28.8" x14ac:dyDescent="0.3">
      <c r="A50" s="14">
        <v>48</v>
      </c>
      <c r="B50" s="15" t="s">
        <v>132</v>
      </c>
      <c r="C50" s="15" t="s">
        <v>885</v>
      </c>
      <c r="D50" s="15" t="s">
        <v>18</v>
      </c>
      <c r="E50" s="15" t="s">
        <v>662</v>
      </c>
      <c r="F50" s="15" t="s">
        <v>54</v>
      </c>
      <c r="G50" s="16" t="s">
        <v>661</v>
      </c>
      <c r="H50" s="16" t="s">
        <v>941</v>
      </c>
      <c r="I50" s="36" t="s">
        <v>529</v>
      </c>
      <c r="J50" s="36" t="s">
        <v>1246</v>
      </c>
      <c r="K50" s="16" t="s">
        <v>133</v>
      </c>
      <c r="L50" s="17" t="s">
        <v>852</v>
      </c>
      <c r="M50" s="48" t="s">
        <v>639</v>
      </c>
      <c r="N50" s="48" t="s">
        <v>639</v>
      </c>
      <c r="O50" s="18" t="s">
        <v>886</v>
      </c>
      <c r="P50" s="18" t="s">
        <v>938</v>
      </c>
      <c r="Q50" s="18" t="s">
        <v>888</v>
      </c>
      <c r="R50" s="40">
        <v>45923</v>
      </c>
      <c r="S50" s="19"/>
    </row>
    <row r="51" spans="1:19" ht="43.2" x14ac:dyDescent="0.3">
      <c r="A51" s="14">
        <v>49</v>
      </c>
      <c r="B51" s="15" t="s">
        <v>134</v>
      </c>
      <c r="C51" s="15" t="s">
        <v>885</v>
      </c>
      <c r="D51" s="15" t="s">
        <v>18</v>
      </c>
      <c r="E51" s="15" t="s">
        <v>620</v>
      </c>
      <c r="F51" s="15" t="s">
        <v>27</v>
      </c>
      <c r="G51" s="16" t="s">
        <v>663</v>
      </c>
      <c r="H51" s="16" t="s">
        <v>941</v>
      </c>
      <c r="I51" s="36" t="s">
        <v>530</v>
      </c>
      <c r="J51" s="36" t="s">
        <v>619</v>
      </c>
      <c r="K51" s="16" t="s">
        <v>135</v>
      </c>
      <c r="L51" s="17" t="s">
        <v>852</v>
      </c>
      <c r="M51" s="48" t="s">
        <v>639</v>
      </c>
      <c r="N51" s="48" t="s">
        <v>639</v>
      </c>
      <c r="O51" s="18" t="s">
        <v>886</v>
      </c>
      <c r="P51" s="18" t="s">
        <v>939</v>
      </c>
      <c r="Q51" s="18" t="s">
        <v>888</v>
      </c>
      <c r="R51" s="40">
        <v>45923</v>
      </c>
      <c r="S51" s="19"/>
    </row>
    <row r="52" spans="1:19" ht="43.2" x14ac:dyDescent="0.3">
      <c r="A52" s="14">
        <v>50</v>
      </c>
      <c r="B52" s="15" t="s">
        <v>136</v>
      </c>
      <c r="C52" s="15" t="s">
        <v>885</v>
      </c>
      <c r="D52" s="15" t="s">
        <v>18</v>
      </c>
      <c r="E52" s="15" t="s">
        <v>494</v>
      </c>
      <c r="F52" s="15" t="s">
        <v>27</v>
      </c>
      <c r="G52" s="16" t="s">
        <v>664</v>
      </c>
      <c r="H52" s="16" t="s">
        <v>941</v>
      </c>
      <c r="I52" s="36" t="s">
        <v>531</v>
      </c>
      <c r="J52" s="36" t="s">
        <v>1248</v>
      </c>
      <c r="K52" s="16" t="s">
        <v>137</v>
      </c>
      <c r="L52" s="17" t="s">
        <v>852</v>
      </c>
      <c r="M52" s="48" t="s">
        <v>639</v>
      </c>
      <c r="N52" s="48" t="s">
        <v>639</v>
      </c>
      <c r="O52" s="18" t="s">
        <v>886</v>
      </c>
      <c r="P52" s="18" t="s">
        <v>940</v>
      </c>
      <c r="Q52" s="18" t="s">
        <v>888</v>
      </c>
      <c r="R52" s="40">
        <v>45923</v>
      </c>
      <c r="S52" s="19"/>
    </row>
    <row r="53" spans="1:19" ht="57.6" x14ac:dyDescent="0.3">
      <c r="A53" s="14">
        <v>51</v>
      </c>
      <c r="B53" s="15" t="s">
        <v>138</v>
      </c>
      <c r="C53" s="15" t="s">
        <v>1100</v>
      </c>
      <c r="D53" s="15" t="s">
        <v>35</v>
      </c>
      <c r="E53" s="15" t="s">
        <v>666</v>
      </c>
      <c r="F53" s="15" t="s">
        <v>139</v>
      </c>
      <c r="G53" s="16" t="s">
        <v>665</v>
      </c>
      <c r="H53" s="16" t="s">
        <v>941</v>
      </c>
      <c r="I53" s="36" t="s">
        <v>532</v>
      </c>
      <c r="J53" s="36" t="s">
        <v>1246</v>
      </c>
      <c r="K53" s="16" t="s">
        <v>140</v>
      </c>
      <c r="L53" s="17" t="s">
        <v>941</v>
      </c>
      <c r="M53" s="48" t="s">
        <v>639</v>
      </c>
      <c r="N53" s="48" t="s">
        <v>639</v>
      </c>
      <c r="O53" s="18" t="s">
        <v>941</v>
      </c>
      <c r="P53" s="18" t="s">
        <v>1098</v>
      </c>
      <c r="Q53" s="18" t="s">
        <v>868</v>
      </c>
      <c r="R53" s="40">
        <v>45923</v>
      </c>
      <c r="S53" s="19" t="s">
        <v>943</v>
      </c>
    </row>
    <row r="54" spans="1:19" ht="28.8" x14ac:dyDescent="0.3">
      <c r="A54" s="14">
        <v>52</v>
      </c>
      <c r="B54" s="15" t="s">
        <v>141</v>
      </c>
      <c r="C54" s="15" t="s">
        <v>885</v>
      </c>
      <c r="D54" s="15" t="s">
        <v>18</v>
      </c>
      <c r="E54" s="15" t="s">
        <v>494</v>
      </c>
      <c r="F54" s="15" t="s">
        <v>78</v>
      </c>
      <c r="G54" s="16" t="s">
        <v>667</v>
      </c>
      <c r="H54" s="16" t="s">
        <v>941</v>
      </c>
      <c r="I54" s="36" t="s">
        <v>533</v>
      </c>
      <c r="J54" s="36" t="s">
        <v>619</v>
      </c>
      <c r="K54" s="16" t="s">
        <v>142</v>
      </c>
      <c r="L54" s="17" t="s">
        <v>852</v>
      </c>
      <c r="M54" s="48" t="s">
        <v>639</v>
      </c>
      <c r="N54" s="48" t="s">
        <v>639</v>
      </c>
      <c r="O54" s="18" t="s">
        <v>886</v>
      </c>
      <c r="P54" s="18" t="s">
        <v>942</v>
      </c>
      <c r="Q54" s="18" t="s">
        <v>888</v>
      </c>
      <c r="R54" s="40">
        <v>45923</v>
      </c>
      <c r="S54" s="19"/>
    </row>
    <row r="55" spans="1:19" ht="28.8" x14ac:dyDescent="0.3">
      <c r="A55" s="14">
        <v>53</v>
      </c>
      <c r="B55" s="15" t="s">
        <v>143</v>
      </c>
      <c r="C55" s="15" t="s">
        <v>885</v>
      </c>
      <c r="D55" s="15" t="s">
        <v>18</v>
      </c>
      <c r="E55" s="15" t="s">
        <v>623</v>
      </c>
      <c r="F55" s="15" t="s">
        <v>27</v>
      </c>
      <c r="G55" s="16" t="s">
        <v>668</v>
      </c>
      <c r="H55" s="16" t="s">
        <v>941</v>
      </c>
      <c r="I55" s="36" t="s">
        <v>534</v>
      </c>
      <c r="J55" s="36" t="s">
        <v>1241</v>
      </c>
      <c r="K55" s="16" t="s">
        <v>144</v>
      </c>
      <c r="L55" s="17" t="s">
        <v>852</v>
      </c>
      <c r="M55" s="48" t="s">
        <v>639</v>
      </c>
      <c r="N55" s="48" t="s">
        <v>639</v>
      </c>
      <c r="O55" s="18" t="s">
        <v>886</v>
      </c>
      <c r="P55" s="18"/>
      <c r="Q55" s="18" t="s">
        <v>888</v>
      </c>
      <c r="R55" s="40">
        <v>45923</v>
      </c>
      <c r="S55" s="19"/>
    </row>
    <row r="56" spans="1:19" x14ac:dyDescent="0.3">
      <c r="A56" s="14">
        <v>54</v>
      </c>
      <c r="B56" s="15" t="s">
        <v>145</v>
      </c>
      <c r="C56" s="15" t="s">
        <v>885</v>
      </c>
      <c r="D56" s="15" t="s">
        <v>18</v>
      </c>
      <c r="E56" s="15" t="s">
        <v>494</v>
      </c>
      <c r="F56" s="15" t="s">
        <v>146</v>
      </c>
      <c r="G56" s="16" t="s">
        <v>669</v>
      </c>
      <c r="H56" s="16" t="s">
        <v>941</v>
      </c>
      <c r="I56" s="36" t="s">
        <v>535</v>
      </c>
      <c r="J56" s="36" t="s">
        <v>1244</v>
      </c>
      <c r="K56" s="16" t="s">
        <v>147</v>
      </c>
      <c r="L56" s="17" t="s">
        <v>852</v>
      </c>
      <c r="M56" s="48" t="s">
        <v>639</v>
      </c>
      <c r="N56" s="48" t="s">
        <v>639</v>
      </c>
      <c r="O56" s="18" t="s">
        <v>886</v>
      </c>
      <c r="P56" s="18"/>
      <c r="Q56" s="18" t="s">
        <v>888</v>
      </c>
      <c r="R56" s="40">
        <v>45923</v>
      </c>
      <c r="S56" s="19"/>
    </row>
    <row r="57" spans="1:19" ht="57.6" x14ac:dyDescent="0.3">
      <c r="A57" s="14">
        <v>55</v>
      </c>
      <c r="B57" s="15" t="s">
        <v>148</v>
      </c>
      <c r="C57" s="15" t="s">
        <v>885</v>
      </c>
      <c r="D57" s="15" t="s">
        <v>18</v>
      </c>
      <c r="E57" s="15" t="s">
        <v>494</v>
      </c>
      <c r="F57" s="15" t="s">
        <v>139</v>
      </c>
      <c r="G57" s="16" t="s">
        <v>670</v>
      </c>
      <c r="H57" s="16" t="s">
        <v>941</v>
      </c>
      <c r="I57" s="36" t="s">
        <v>536</v>
      </c>
      <c r="J57" s="36" t="s">
        <v>619</v>
      </c>
      <c r="K57" s="16" t="s">
        <v>149</v>
      </c>
      <c r="L57" s="17" t="s">
        <v>852</v>
      </c>
      <c r="M57" s="48" t="s">
        <v>639</v>
      </c>
      <c r="N57" s="48" t="s">
        <v>639</v>
      </c>
      <c r="O57" s="18" t="s">
        <v>886</v>
      </c>
      <c r="P57" s="18"/>
      <c r="Q57" s="18" t="s">
        <v>888</v>
      </c>
      <c r="R57" s="40">
        <v>45923</v>
      </c>
      <c r="S57" s="19"/>
    </row>
    <row r="58" spans="1:19" ht="43.2" x14ac:dyDescent="0.3">
      <c r="A58" s="14">
        <v>56</v>
      </c>
      <c r="B58" s="15" t="s">
        <v>150</v>
      </c>
      <c r="C58" s="15" t="s">
        <v>885</v>
      </c>
      <c r="D58" s="15" t="s">
        <v>18</v>
      </c>
      <c r="E58" s="15" t="s">
        <v>494</v>
      </c>
      <c r="F58" s="15" t="s">
        <v>27</v>
      </c>
      <c r="G58" s="16" t="s">
        <v>671</v>
      </c>
      <c r="H58" s="16" t="s">
        <v>941</v>
      </c>
      <c r="I58" s="36" t="s">
        <v>537</v>
      </c>
      <c r="J58" s="36" t="s">
        <v>1244</v>
      </c>
      <c r="K58" s="16" t="s">
        <v>151</v>
      </c>
      <c r="L58" s="17" t="s">
        <v>852</v>
      </c>
      <c r="M58" s="48" t="s">
        <v>639</v>
      </c>
      <c r="N58" s="48" t="s">
        <v>639</v>
      </c>
      <c r="O58" s="18" t="s">
        <v>886</v>
      </c>
      <c r="P58" s="18" t="s">
        <v>944</v>
      </c>
      <c r="Q58" s="18" t="s">
        <v>888</v>
      </c>
      <c r="R58" s="40">
        <v>45923</v>
      </c>
      <c r="S58" s="19"/>
    </row>
    <row r="59" spans="1:19" ht="28.8" x14ac:dyDescent="0.3">
      <c r="A59" s="14">
        <v>57</v>
      </c>
      <c r="B59" s="15" t="s">
        <v>152</v>
      </c>
      <c r="C59" s="15" t="s">
        <v>885</v>
      </c>
      <c r="D59" s="15" t="s">
        <v>18</v>
      </c>
      <c r="E59" s="15" t="s">
        <v>673</v>
      </c>
      <c r="F59" s="15" t="s">
        <v>27</v>
      </c>
      <c r="G59" s="16" t="s">
        <v>672</v>
      </c>
      <c r="H59" s="16" t="s">
        <v>941</v>
      </c>
      <c r="I59" s="36" t="s">
        <v>497</v>
      </c>
      <c r="J59" s="36" t="s">
        <v>1241</v>
      </c>
      <c r="K59" s="16" t="s">
        <v>153</v>
      </c>
      <c r="L59" s="17" t="s">
        <v>852</v>
      </c>
      <c r="M59" s="48" t="s">
        <v>639</v>
      </c>
      <c r="N59" s="48" t="s">
        <v>639</v>
      </c>
      <c r="O59" s="18" t="s">
        <v>886</v>
      </c>
      <c r="P59" s="18" t="s">
        <v>945</v>
      </c>
      <c r="Q59" s="18" t="s">
        <v>888</v>
      </c>
      <c r="R59" s="40">
        <v>45923</v>
      </c>
      <c r="S59" s="19"/>
    </row>
    <row r="60" spans="1:19" ht="28.8" x14ac:dyDescent="0.3">
      <c r="A60" s="14">
        <v>58</v>
      </c>
      <c r="B60" s="15" t="s">
        <v>154</v>
      </c>
      <c r="C60" s="15" t="s">
        <v>885</v>
      </c>
      <c r="D60" s="15" t="s">
        <v>18</v>
      </c>
      <c r="E60" s="15" t="s">
        <v>624</v>
      </c>
      <c r="F60" s="15" t="s">
        <v>75</v>
      </c>
      <c r="G60" s="16" t="s">
        <v>674</v>
      </c>
      <c r="H60" s="45">
        <v>45407</v>
      </c>
      <c r="I60" s="36" t="s">
        <v>538</v>
      </c>
      <c r="J60" s="36" t="s">
        <v>1241</v>
      </c>
      <c r="K60" s="16" t="s">
        <v>155</v>
      </c>
      <c r="L60" s="17" t="s">
        <v>1097</v>
      </c>
      <c r="M60" s="17" t="s">
        <v>1141</v>
      </c>
      <c r="N60" s="17" t="s">
        <v>1226</v>
      </c>
      <c r="O60" s="18" t="s">
        <v>1152</v>
      </c>
      <c r="P60" s="43" t="s">
        <v>870</v>
      </c>
      <c r="Q60" s="18" t="s">
        <v>894</v>
      </c>
      <c r="R60" s="40">
        <v>45917</v>
      </c>
      <c r="S60" s="19"/>
    </row>
    <row r="61" spans="1:19" ht="57.6" x14ac:dyDescent="0.3">
      <c r="A61" s="14">
        <v>59</v>
      </c>
      <c r="B61" s="15" t="s">
        <v>156</v>
      </c>
      <c r="C61" s="15" t="s">
        <v>885</v>
      </c>
      <c r="D61" s="15" t="s">
        <v>18</v>
      </c>
      <c r="E61" s="15" t="s">
        <v>623</v>
      </c>
      <c r="F61" s="15" t="s">
        <v>54</v>
      </c>
      <c r="G61" s="16" t="s">
        <v>675</v>
      </c>
      <c r="H61" s="45">
        <v>44940</v>
      </c>
      <c r="I61" s="36" t="s">
        <v>497</v>
      </c>
      <c r="J61" s="36" t="s">
        <v>1241</v>
      </c>
      <c r="K61" s="16" t="s">
        <v>157</v>
      </c>
      <c r="L61" s="17" t="s">
        <v>1097</v>
      </c>
      <c r="M61" s="17" t="s">
        <v>1141</v>
      </c>
      <c r="N61" s="17" t="s">
        <v>1226</v>
      </c>
      <c r="O61" s="18" t="s">
        <v>1152</v>
      </c>
      <c r="P61" s="43" t="s">
        <v>872</v>
      </c>
      <c r="Q61" s="18" t="s">
        <v>894</v>
      </c>
      <c r="R61" s="40">
        <v>45917</v>
      </c>
      <c r="S61" s="19" t="s">
        <v>1151</v>
      </c>
    </row>
    <row r="62" spans="1:19" ht="28.8" x14ac:dyDescent="0.3">
      <c r="A62" s="14">
        <v>60</v>
      </c>
      <c r="B62" s="15" t="s">
        <v>158</v>
      </c>
      <c r="C62" s="15" t="s">
        <v>885</v>
      </c>
      <c r="D62" s="15" t="s">
        <v>35</v>
      </c>
      <c r="E62" s="15" t="s">
        <v>487</v>
      </c>
      <c r="F62" s="15" t="s">
        <v>34</v>
      </c>
      <c r="G62" s="16" t="s">
        <v>676</v>
      </c>
      <c r="H62" s="16" t="s">
        <v>941</v>
      </c>
      <c r="I62" s="36" t="s">
        <v>539</v>
      </c>
      <c r="J62" s="36" t="s">
        <v>1244</v>
      </c>
      <c r="K62" s="16" t="s">
        <v>159</v>
      </c>
      <c r="L62" s="17" t="s">
        <v>852</v>
      </c>
      <c r="M62" s="48" t="s">
        <v>639</v>
      </c>
      <c r="N62" s="48" t="s">
        <v>639</v>
      </c>
      <c r="O62" s="18" t="s">
        <v>886</v>
      </c>
      <c r="P62" s="18" t="s">
        <v>946</v>
      </c>
      <c r="Q62" s="18" t="s">
        <v>868</v>
      </c>
      <c r="R62" s="40">
        <v>45923</v>
      </c>
      <c r="S62" s="19"/>
    </row>
    <row r="63" spans="1:19" ht="43.2" x14ac:dyDescent="0.3">
      <c r="A63" s="14">
        <v>61</v>
      </c>
      <c r="B63" s="15" t="s">
        <v>160</v>
      </c>
      <c r="C63" s="15" t="s">
        <v>885</v>
      </c>
      <c r="D63" s="15" t="s">
        <v>28</v>
      </c>
      <c r="E63" s="15" t="s">
        <v>623</v>
      </c>
      <c r="F63" s="15" t="s">
        <v>34</v>
      </c>
      <c r="G63" s="16" t="s">
        <v>677</v>
      </c>
      <c r="H63" s="16" t="s">
        <v>941</v>
      </c>
      <c r="I63" s="36" t="s">
        <v>540</v>
      </c>
      <c r="J63" s="36" t="s">
        <v>1243</v>
      </c>
      <c r="K63" s="16" t="s">
        <v>161</v>
      </c>
      <c r="L63" s="17" t="s">
        <v>852</v>
      </c>
      <c r="M63" s="48" t="s">
        <v>639</v>
      </c>
      <c r="N63" s="48" t="s">
        <v>639</v>
      </c>
      <c r="O63" s="18" t="s">
        <v>886</v>
      </c>
      <c r="P63" s="18" t="s">
        <v>947</v>
      </c>
      <c r="Q63" s="18" t="s">
        <v>868</v>
      </c>
      <c r="R63" s="40">
        <v>45923</v>
      </c>
      <c r="S63" s="19"/>
    </row>
    <row r="64" spans="1:19" ht="43.2" x14ac:dyDescent="0.3">
      <c r="A64" s="14">
        <v>62</v>
      </c>
      <c r="B64" s="15" t="s">
        <v>162</v>
      </c>
      <c r="C64" s="15" t="s">
        <v>885</v>
      </c>
      <c r="D64" s="15" t="s">
        <v>35</v>
      </c>
      <c r="E64" s="15" t="s">
        <v>678</v>
      </c>
      <c r="F64" s="15" t="s">
        <v>34</v>
      </c>
      <c r="G64" s="16" t="s">
        <v>677</v>
      </c>
      <c r="H64" s="16" t="s">
        <v>941</v>
      </c>
      <c r="I64" s="36" t="s">
        <v>512</v>
      </c>
      <c r="J64" s="36" t="s">
        <v>619</v>
      </c>
      <c r="K64" s="16" t="s">
        <v>163</v>
      </c>
      <c r="L64" s="17" t="s">
        <v>852</v>
      </c>
      <c r="M64" s="48" t="s">
        <v>639</v>
      </c>
      <c r="N64" s="48" t="s">
        <v>639</v>
      </c>
      <c r="O64" s="18" t="s">
        <v>886</v>
      </c>
      <c r="P64" s="18" t="s">
        <v>948</v>
      </c>
      <c r="Q64" s="18" t="s">
        <v>868</v>
      </c>
      <c r="R64" s="40">
        <v>45923</v>
      </c>
      <c r="S64" s="19"/>
    </row>
    <row r="65" spans="1:19" ht="28.8" x14ac:dyDescent="0.3">
      <c r="A65" s="14">
        <v>63</v>
      </c>
      <c r="B65" s="15" t="s">
        <v>164</v>
      </c>
      <c r="C65" s="15" t="s">
        <v>885</v>
      </c>
      <c r="D65" s="15" t="s">
        <v>28</v>
      </c>
      <c r="E65" s="15" t="s">
        <v>679</v>
      </c>
      <c r="F65" s="15" t="s">
        <v>34</v>
      </c>
      <c r="G65" s="16" t="s">
        <v>677</v>
      </c>
      <c r="H65" s="16" t="s">
        <v>941</v>
      </c>
      <c r="I65" s="36" t="s">
        <v>541</v>
      </c>
      <c r="J65" s="36" t="s">
        <v>1243</v>
      </c>
      <c r="K65" s="16" t="s">
        <v>165</v>
      </c>
      <c r="L65" s="17" t="s">
        <v>852</v>
      </c>
      <c r="M65" s="48" t="s">
        <v>639</v>
      </c>
      <c r="N65" s="48" t="s">
        <v>639</v>
      </c>
      <c r="O65" s="18" t="s">
        <v>886</v>
      </c>
      <c r="P65" s="18" t="s">
        <v>949</v>
      </c>
      <c r="Q65" s="18" t="s">
        <v>868</v>
      </c>
      <c r="R65" s="40">
        <v>45923</v>
      </c>
      <c r="S65" s="19"/>
    </row>
    <row r="66" spans="1:19" x14ac:dyDescent="0.3">
      <c r="A66" s="14">
        <v>64</v>
      </c>
      <c r="B66" s="15" t="s">
        <v>166</v>
      </c>
      <c r="C66" s="15" t="s">
        <v>885</v>
      </c>
      <c r="D66" s="15" t="s">
        <v>18</v>
      </c>
      <c r="E66" s="15" t="s">
        <v>494</v>
      </c>
      <c r="F66" s="15" t="s">
        <v>27</v>
      </c>
      <c r="G66" s="16" t="s">
        <v>166</v>
      </c>
      <c r="H66" s="16" t="s">
        <v>941</v>
      </c>
      <c r="I66" s="36" t="s">
        <v>542</v>
      </c>
      <c r="J66" s="36" t="s">
        <v>1243</v>
      </c>
      <c r="K66" s="16" t="s">
        <v>167</v>
      </c>
      <c r="L66" s="17" t="s">
        <v>852</v>
      </c>
      <c r="M66" s="48" t="s">
        <v>639</v>
      </c>
      <c r="N66" s="48" t="s">
        <v>639</v>
      </c>
      <c r="O66" s="18" t="s">
        <v>886</v>
      </c>
      <c r="P66" s="18" t="s">
        <v>950</v>
      </c>
      <c r="Q66" s="18" t="s">
        <v>868</v>
      </c>
      <c r="R66" s="40">
        <v>45923</v>
      </c>
      <c r="S66" s="19"/>
    </row>
    <row r="67" spans="1:19" ht="28.8" x14ac:dyDescent="0.3">
      <c r="A67" s="14">
        <v>65</v>
      </c>
      <c r="B67" s="15" t="s">
        <v>168</v>
      </c>
      <c r="C67" s="15" t="s">
        <v>885</v>
      </c>
      <c r="D67" s="15" t="s">
        <v>18</v>
      </c>
      <c r="E67" s="15" t="s">
        <v>494</v>
      </c>
      <c r="F67" s="15" t="s">
        <v>27</v>
      </c>
      <c r="G67" s="16" t="s">
        <v>680</v>
      </c>
      <c r="H67" s="45">
        <v>44781</v>
      </c>
      <c r="I67" s="36" t="s">
        <v>543</v>
      </c>
      <c r="J67" s="36" t="s">
        <v>1243</v>
      </c>
      <c r="K67" s="16" t="s">
        <v>169</v>
      </c>
      <c r="L67" s="17" t="s">
        <v>1097</v>
      </c>
      <c r="M67" s="17" t="s">
        <v>1141</v>
      </c>
      <c r="N67" s="17" t="s">
        <v>1226</v>
      </c>
      <c r="O67" s="18" t="s">
        <v>1152</v>
      </c>
      <c r="P67" s="43" t="s">
        <v>951</v>
      </c>
      <c r="Q67" s="18" t="s">
        <v>868</v>
      </c>
      <c r="R67" s="40">
        <v>45923</v>
      </c>
      <c r="S67" s="19"/>
    </row>
    <row r="68" spans="1:19" ht="28.8" x14ac:dyDescent="0.3">
      <c r="A68" s="14">
        <v>66</v>
      </c>
      <c r="B68" s="15" t="s">
        <v>170</v>
      </c>
      <c r="C68" s="15" t="s">
        <v>885</v>
      </c>
      <c r="D68" s="15" t="s">
        <v>18</v>
      </c>
      <c r="E68" s="15" t="s">
        <v>682</v>
      </c>
      <c r="F68" s="15" t="s">
        <v>27</v>
      </c>
      <c r="G68" s="16" t="s">
        <v>681</v>
      </c>
      <c r="H68" s="16" t="s">
        <v>941</v>
      </c>
      <c r="I68" s="36" t="s">
        <v>544</v>
      </c>
      <c r="J68" s="36" t="s">
        <v>619</v>
      </c>
      <c r="K68" s="16" t="s">
        <v>171</v>
      </c>
      <c r="L68" s="17" t="s">
        <v>852</v>
      </c>
      <c r="M68" s="48" t="s">
        <v>639</v>
      </c>
      <c r="N68" s="48" t="s">
        <v>639</v>
      </c>
      <c r="O68" s="18" t="s">
        <v>886</v>
      </c>
      <c r="P68" s="18" t="s">
        <v>952</v>
      </c>
      <c r="Q68" s="18" t="s">
        <v>868</v>
      </c>
      <c r="R68" s="40">
        <v>45923</v>
      </c>
      <c r="S68" s="19"/>
    </row>
    <row r="69" spans="1:19" ht="43.2" x14ac:dyDescent="0.3">
      <c r="A69" s="14">
        <v>67</v>
      </c>
      <c r="B69" s="15" t="s">
        <v>172</v>
      </c>
      <c r="C69" s="15" t="s">
        <v>885</v>
      </c>
      <c r="D69" s="15" t="s">
        <v>18</v>
      </c>
      <c r="E69" s="15" t="s">
        <v>659</v>
      </c>
      <c r="F69" s="15" t="s">
        <v>54</v>
      </c>
      <c r="G69" s="16" t="s">
        <v>683</v>
      </c>
      <c r="H69" s="45">
        <v>45182</v>
      </c>
      <c r="I69" s="36" t="s">
        <v>532</v>
      </c>
      <c r="J69" s="36" t="s">
        <v>619</v>
      </c>
      <c r="K69" s="16" t="s">
        <v>173</v>
      </c>
      <c r="L69" s="17" t="s">
        <v>1097</v>
      </c>
      <c r="M69" s="17" t="s">
        <v>1141</v>
      </c>
      <c r="N69" s="17" t="s">
        <v>1226</v>
      </c>
      <c r="O69" s="18" t="s">
        <v>1152</v>
      </c>
      <c r="P69" s="43" t="s">
        <v>953</v>
      </c>
      <c r="Q69" s="18" t="s">
        <v>888</v>
      </c>
      <c r="R69" s="40">
        <v>45919</v>
      </c>
      <c r="S69" s="19"/>
    </row>
    <row r="70" spans="1:19" ht="43.2" x14ac:dyDescent="0.3">
      <c r="A70" s="14">
        <v>68</v>
      </c>
      <c r="B70" s="15" t="s">
        <v>174</v>
      </c>
      <c r="C70" s="15" t="s">
        <v>885</v>
      </c>
      <c r="D70" s="15" t="s">
        <v>18</v>
      </c>
      <c r="E70" s="15" t="s">
        <v>684</v>
      </c>
      <c r="F70" s="15" t="s">
        <v>27</v>
      </c>
      <c r="G70" s="16" t="s">
        <v>672</v>
      </c>
      <c r="H70" s="16" t="s">
        <v>941</v>
      </c>
      <c r="I70" s="36" t="s">
        <v>509</v>
      </c>
      <c r="J70" s="36" t="s">
        <v>1241</v>
      </c>
      <c r="K70" s="16" t="s">
        <v>175</v>
      </c>
      <c r="L70" s="17" t="s">
        <v>852</v>
      </c>
      <c r="M70" s="48" t="s">
        <v>639</v>
      </c>
      <c r="N70" s="48" t="s">
        <v>639</v>
      </c>
      <c r="O70" s="18" t="s">
        <v>886</v>
      </c>
      <c r="P70" s="18" t="s">
        <v>954</v>
      </c>
      <c r="Q70" s="18" t="s">
        <v>888</v>
      </c>
      <c r="R70" s="40">
        <v>45923</v>
      </c>
      <c r="S70" s="19"/>
    </row>
    <row r="71" spans="1:19" ht="43.2" x14ac:dyDescent="0.3">
      <c r="A71" s="14">
        <v>69</v>
      </c>
      <c r="B71" s="15" t="s">
        <v>176</v>
      </c>
      <c r="C71" s="15" t="s">
        <v>885</v>
      </c>
      <c r="D71" s="15" t="s">
        <v>18</v>
      </c>
      <c r="E71" s="15" t="s">
        <v>620</v>
      </c>
      <c r="F71" s="15" t="s">
        <v>54</v>
      </c>
      <c r="G71" s="16" t="s">
        <v>685</v>
      </c>
      <c r="H71" s="16" t="s">
        <v>941</v>
      </c>
      <c r="I71" s="36" t="s">
        <v>545</v>
      </c>
      <c r="J71" s="36" t="s">
        <v>1243</v>
      </c>
      <c r="K71" s="16" t="s">
        <v>177</v>
      </c>
      <c r="L71" s="17" t="s">
        <v>852</v>
      </c>
      <c r="M71" s="48" t="s">
        <v>639</v>
      </c>
      <c r="N71" s="48" t="s">
        <v>639</v>
      </c>
      <c r="O71" s="18" t="s">
        <v>886</v>
      </c>
      <c r="P71" s="18" t="s">
        <v>955</v>
      </c>
      <c r="Q71" s="18" t="s">
        <v>888</v>
      </c>
      <c r="R71" s="40">
        <v>45923</v>
      </c>
      <c r="S71" s="19"/>
    </row>
    <row r="72" spans="1:19" ht="43.2" x14ac:dyDescent="0.3">
      <c r="A72" s="14">
        <v>70</v>
      </c>
      <c r="B72" s="15" t="s">
        <v>178</v>
      </c>
      <c r="C72" s="15" t="s">
        <v>885</v>
      </c>
      <c r="D72" s="15" t="s">
        <v>35</v>
      </c>
      <c r="E72" s="15" t="s">
        <v>686</v>
      </c>
      <c r="F72" s="15" t="s">
        <v>34</v>
      </c>
      <c r="G72" s="16" t="s">
        <v>676</v>
      </c>
      <c r="H72" s="16" t="s">
        <v>941</v>
      </c>
      <c r="I72" s="36" t="s">
        <v>545</v>
      </c>
      <c r="J72" s="36" t="s">
        <v>1243</v>
      </c>
      <c r="K72" s="16" t="s">
        <v>179</v>
      </c>
      <c r="L72" s="17" t="s">
        <v>852</v>
      </c>
      <c r="M72" s="48" t="s">
        <v>639</v>
      </c>
      <c r="N72" s="48" t="s">
        <v>639</v>
      </c>
      <c r="O72" s="18" t="s">
        <v>886</v>
      </c>
      <c r="P72" s="18" t="s">
        <v>956</v>
      </c>
      <c r="Q72" s="18" t="s">
        <v>868</v>
      </c>
      <c r="R72" s="40">
        <v>45923</v>
      </c>
      <c r="S72" s="19"/>
    </row>
    <row r="73" spans="1:19" ht="43.2" x14ac:dyDescent="0.3">
      <c r="A73" s="14">
        <v>71</v>
      </c>
      <c r="B73" s="15" t="s">
        <v>180</v>
      </c>
      <c r="C73" s="15" t="s">
        <v>885</v>
      </c>
      <c r="D73" s="15" t="s">
        <v>18</v>
      </c>
      <c r="E73" s="15" t="s">
        <v>494</v>
      </c>
      <c r="F73" s="15" t="s">
        <v>181</v>
      </c>
      <c r="G73" s="16" t="s">
        <v>687</v>
      </c>
      <c r="H73" s="16" t="s">
        <v>941</v>
      </c>
      <c r="I73" s="36" t="s">
        <v>504</v>
      </c>
      <c r="J73" s="36" t="s">
        <v>1246</v>
      </c>
      <c r="K73" s="16" t="s">
        <v>182</v>
      </c>
      <c r="L73" s="17" t="s">
        <v>852</v>
      </c>
      <c r="M73" s="48" t="s">
        <v>639</v>
      </c>
      <c r="N73" s="48" t="s">
        <v>639</v>
      </c>
      <c r="O73" s="18" t="s">
        <v>886</v>
      </c>
      <c r="P73" s="18" t="s">
        <v>957</v>
      </c>
      <c r="Q73" s="18" t="s">
        <v>888</v>
      </c>
      <c r="R73" s="40">
        <v>45923</v>
      </c>
      <c r="S73" s="19"/>
    </row>
    <row r="74" spans="1:19" ht="43.2" x14ac:dyDescent="0.3">
      <c r="A74" s="14">
        <v>72</v>
      </c>
      <c r="B74" s="15" t="s">
        <v>183</v>
      </c>
      <c r="C74" s="15" t="s">
        <v>885</v>
      </c>
      <c r="D74" s="15" t="s">
        <v>18</v>
      </c>
      <c r="E74" s="15" t="s">
        <v>682</v>
      </c>
      <c r="F74" s="15" t="s">
        <v>34</v>
      </c>
      <c r="G74" s="16" t="s">
        <v>688</v>
      </c>
      <c r="H74" s="16" t="s">
        <v>941</v>
      </c>
      <c r="I74" s="36" t="s">
        <v>524</v>
      </c>
      <c r="J74" s="36" t="s">
        <v>1242</v>
      </c>
      <c r="K74" s="16" t="s">
        <v>184</v>
      </c>
      <c r="L74" s="17" t="s">
        <v>852</v>
      </c>
      <c r="M74" s="48" t="s">
        <v>639</v>
      </c>
      <c r="N74" s="48" t="s">
        <v>639</v>
      </c>
      <c r="O74" s="18" t="s">
        <v>886</v>
      </c>
      <c r="P74" s="18" t="s">
        <v>958</v>
      </c>
      <c r="Q74" s="18" t="s">
        <v>888</v>
      </c>
      <c r="R74" s="40">
        <v>45923</v>
      </c>
      <c r="S74" s="19"/>
    </row>
    <row r="75" spans="1:19" ht="43.2" x14ac:dyDescent="0.3">
      <c r="A75" s="14">
        <v>73</v>
      </c>
      <c r="B75" s="15" t="s">
        <v>185</v>
      </c>
      <c r="C75" s="15" t="s">
        <v>885</v>
      </c>
      <c r="D75" s="15" t="s">
        <v>18</v>
      </c>
      <c r="E75" s="15" t="s">
        <v>690</v>
      </c>
      <c r="F75" s="15" t="s">
        <v>27</v>
      </c>
      <c r="G75" s="16" t="s">
        <v>689</v>
      </c>
      <c r="H75" s="16" t="s">
        <v>941</v>
      </c>
      <c r="I75" s="36" t="s">
        <v>546</v>
      </c>
      <c r="J75" s="36" t="s">
        <v>1244</v>
      </c>
      <c r="K75" s="16" t="s">
        <v>186</v>
      </c>
      <c r="L75" s="17" t="s">
        <v>852</v>
      </c>
      <c r="M75" s="48" t="s">
        <v>639</v>
      </c>
      <c r="N75" s="48" t="s">
        <v>639</v>
      </c>
      <c r="O75" s="18" t="s">
        <v>886</v>
      </c>
      <c r="P75" s="18" t="s">
        <v>960</v>
      </c>
      <c r="Q75" s="18" t="s">
        <v>888</v>
      </c>
      <c r="R75" s="40">
        <v>45923</v>
      </c>
      <c r="S75" s="19"/>
    </row>
    <row r="76" spans="1:19" ht="28.8" x14ac:dyDescent="0.3">
      <c r="A76" s="14">
        <v>74</v>
      </c>
      <c r="B76" s="15" t="s">
        <v>187</v>
      </c>
      <c r="C76" s="15" t="s">
        <v>885</v>
      </c>
      <c r="D76" s="15" t="s">
        <v>18</v>
      </c>
      <c r="E76" s="15" t="s">
        <v>691</v>
      </c>
      <c r="F76" s="15" t="s">
        <v>54</v>
      </c>
      <c r="G76" s="16" t="s">
        <v>651</v>
      </c>
      <c r="H76" s="45">
        <v>44427</v>
      </c>
      <c r="I76" s="36" t="s">
        <v>547</v>
      </c>
      <c r="J76" s="36" t="s">
        <v>619</v>
      </c>
      <c r="K76" s="16" t="s">
        <v>188</v>
      </c>
      <c r="L76" s="17" t="s">
        <v>1097</v>
      </c>
      <c r="M76" s="17" t="s">
        <v>1140</v>
      </c>
      <c r="N76" s="17" t="s">
        <v>1226</v>
      </c>
      <c r="O76" s="18" t="s">
        <v>1152</v>
      </c>
      <c r="P76" s="43" t="s">
        <v>959</v>
      </c>
      <c r="Q76" s="18" t="s">
        <v>888</v>
      </c>
      <c r="R76" s="40">
        <v>45919</v>
      </c>
      <c r="S76" s="19"/>
    </row>
    <row r="77" spans="1:19" ht="28.8" x14ac:dyDescent="0.3">
      <c r="A77" s="14">
        <v>75</v>
      </c>
      <c r="B77" s="15" t="s">
        <v>189</v>
      </c>
      <c r="C77" s="15" t="s">
        <v>885</v>
      </c>
      <c r="D77" s="15" t="s">
        <v>35</v>
      </c>
      <c r="E77" s="15" t="s">
        <v>638</v>
      </c>
      <c r="F77" s="15" t="s">
        <v>75</v>
      </c>
      <c r="G77" s="16" t="s">
        <v>692</v>
      </c>
      <c r="H77" s="16" t="s">
        <v>941</v>
      </c>
      <c r="I77" s="36" t="s">
        <v>497</v>
      </c>
      <c r="J77" s="36" t="s">
        <v>1241</v>
      </c>
      <c r="K77" s="16" t="s">
        <v>190</v>
      </c>
      <c r="L77" s="17" t="s">
        <v>852</v>
      </c>
      <c r="M77" s="48" t="s">
        <v>639</v>
      </c>
      <c r="N77" s="48" t="s">
        <v>639</v>
      </c>
      <c r="O77" s="18" t="s">
        <v>886</v>
      </c>
      <c r="P77" s="18" t="s">
        <v>961</v>
      </c>
      <c r="Q77" s="18" t="s">
        <v>888</v>
      </c>
      <c r="R77" s="40">
        <v>45923</v>
      </c>
      <c r="S77" s="19"/>
    </row>
    <row r="78" spans="1:19" ht="28.8" x14ac:dyDescent="0.3">
      <c r="A78" s="14">
        <v>76</v>
      </c>
      <c r="B78" s="15" t="s">
        <v>191</v>
      </c>
      <c r="C78" s="15" t="s">
        <v>885</v>
      </c>
      <c r="D78" s="15" t="s">
        <v>35</v>
      </c>
      <c r="E78" s="15" t="s">
        <v>678</v>
      </c>
      <c r="F78" s="15" t="s">
        <v>34</v>
      </c>
      <c r="G78" s="16" t="s">
        <v>693</v>
      </c>
      <c r="H78" s="16" t="s">
        <v>941</v>
      </c>
      <c r="I78" s="36" t="s">
        <v>548</v>
      </c>
      <c r="J78" s="36" t="s">
        <v>1244</v>
      </c>
      <c r="K78" s="16" t="s">
        <v>192</v>
      </c>
      <c r="L78" s="17" t="s">
        <v>852</v>
      </c>
      <c r="M78" s="48" t="s">
        <v>639</v>
      </c>
      <c r="N78" s="48" t="s">
        <v>639</v>
      </c>
      <c r="O78" s="18" t="s">
        <v>886</v>
      </c>
      <c r="P78" s="18" t="s">
        <v>963</v>
      </c>
      <c r="Q78" s="18" t="s">
        <v>868</v>
      </c>
      <c r="R78" s="40">
        <v>45923</v>
      </c>
      <c r="S78" s="19"/>
    </row>
    <row r="79" spans="1:19" ht="28.8" x14ac:dyDescent="0.3">
      <c r="A79" s="14">
        <v>77</v>
      </c>
      <c r="B79" s="15" t="s">
        <v>193</v>
      </c>
      <c r="C79" s="15" t="s">
        <v>885</v>
      </c>
      <c r="D79" s="15" t="s">
        <v>18</v>
      </c>
      <c r="E79" s="15" t="s">
        <v>494</v>
      </c>
      <c r="F79" s="15" t="s">
        <v>27</v>
      </c>
      <c r="G79" s="16" t="s">
        <v>694</v>
      </c>
      <c r="H79" s="16" t="s">
        <v>941</v>
      </c>
      <c r="I79" s="36" t="s">
        <v>497</v>
      </c>
      <c r="J79" s="36" t="s">
        <v>619</v>
      </c>
      <c r="K79" s="16" t="s">
        <v>194</v>
      </c>
      <c r="L79" s="17" t="s">
        <v>852</v>
      </c>
      <c r="M79" s="48" t="s">
        <v>639</v>
      </c>
      <c r="N79" s="48" t="s">
        <v>639</v>
      </c>
      <c r="O79" s="18" t="s">
        <v>886</v>
      </c>
      <c r="P79" s="18" t="s">
        <v>962</v>
      </c>
      <c r="Q79" s="18" t="s">
        <v>888</v>
      </c>
      <c r="R79" s="40">
        <v>45923</v>
      </c>
      <c r="S79" s="19"/>
    </row>
    <row r="80" spans="1:19" ht="28.8" x14ac:dyDescent="0.3">
      <c r="A80" s="14">
        <v>78</v>
      </c>
      <c r="B80" s="15" t="s">
        <v>195</v>
      </c>
      <c r="C80" s="15" t="s">
        <v>885</v>
      </c>
      <c r="D80" s="15" t="s">
        <v>18</v>
      </c>
      <c r="E80" s="15" t="s">
        <v>620</v>
      </c>
      <c r="F80" s="15" t="s">
        <v>34</v>
      </c>
      <c r="G80" s="16" t="s">
        <v>195</v>
      </c>
      <c r="H80" s="16" t="s">
        <v>941</v>
      </c>
      <c r="I80" s="36" t="s">
        <v>525</v>
      </c>
      <c r="J80" s="36" t="s">
        <v>619</v>
      </c>
      <c r="K80" s="16" t="s">
        <v>196</v>
      </c>
      <c r="L80" s="17" t="s">
        <v>852</v>
      </c>
      <c r="M80" s="48" t="s">
        <v>639</v>
      </c>
      <c r="N80" s="48" t="s">
        <v>639</v>
      </c>
      <c r="O80" s="18" t="s">
        <v>886</v>
      </c>
      <c r="P80" s="18" t="s">
        <v>964</v>
      </c>
      <c r="Q80" s="18" t="s">
        <v>888</v>
      </c>
      <c r="R80" s="40">
        <v>45923</v>
      </c>
      <c r="S80" s="19"/>
    </row>
    <row r="81" spans="1:19" ht="43.2" x14ac:dyDescent="0.3">
      <c r="A81" s="14">
        <v>79</v>
      </c>
      <c r="B81" s="15" t="s">
        <v>197</v>
      </c>
      <c r="C81" s="15" t="s">
        <v>1100</v>
      </c>
      <c r="D81" s="15" t="s">
        <v>18</v>
      </c>
      <c r="E81" s="15" t="s">
        <v>494</v>
      </c>
      <c r="F81" s="15" t="s">
        <v>100</v>
      </c>
      <c r="G81" s="16" t="s">
        <v>695</v>
      </c>
      <c r="H81" s="16" t="s">
        <v>941</v>
      </c>
      <c r="I81" s="36" t="s">
        <v>549</v>
      </c>
      <c r="J81" s="36" t="s">
        <v>1241</v>
      </c>
      <c r="K81" s="16" t="s">
        <v>198</v>
      </c>
      <c r="L81" s="17" t="s">
        <v>941</v>
      </c>
      <c r="M81" s="48" t="s">
        <v>639</v>
      </c>
      <c r="N81" s="48" t="s">
        <v>639</v>
      </c>
      <c r="O81" s="18" t="s">
        <v>941</v>
      </c>
      <c r="P81" s="18" t="s">
        <v>1099</v>
      </c>
      <c r="Q81" s="18" t="s">
        <v>868</v>
      </c>
      <c r="R81" s="40">
        <v>45923</v>
      </c>
      <c r="S81" s="19" t="s">
        <v>943</v>
      </c>
    </row>
    <row r="82" spans="1:19" ht="43.2" x14ac:dyDescent="0.3">
      <c r="A82" s="14">
        <v>80</v>
      </c>
      <c r="B82" s="15" t="s">
        <v>199</v>
      </c>
      <c r="C82" s="15" t="s">
        <v>885</v>
      </c>
      <c r="D82" s="15" t="s">
        <v>18</v>
      </c>
      <c r="E82" s="15" t="s">
        <v>650</v>
      </c>
      <c r="F82" s="15" t="s">
        <v>24</v>
      </c>
      <c r="G82" s="16" t="s">
        <v>696</v>
      </c>
      <c r="H82" s="16" t="s">
        <v>941</v>
      </c>
      <c r="I82" s="36" t="s">
        <v>550</v>
      </c>
      <c r="J82" s="36" t="s">
        <v>1241</v>
      </c>
      <c r="K82" s="16" t="s">
        <v>200</v>
      </c>
      <c r="L82" s="17" t="s">
        <v>852</v>
      </c>
      <c r="M82" s="48" t="s">
        <v>639</v>
      </c>
      <c r="N82" s="48" t="s">
        <v>639</v>
      </c>
      <c r="O82" s="18" t="s">
        <v>886</v>
      </c>
      <c r="P82" s="18" t="s">
        <v>965</v>
      </c>
      <c r="Q82" s="18" t="s">
        <v>888</v>
      </c>
      <c r="R82" s="40">
        <v>45923</v>
      </c>
      <c r="S82" s="19"/>
    </row>
    <row r="83" spans="1:19" ht="28.8" x14ac:dyDescent="0.3">
      <c r="A83" s="14">
        <v>81</v>
      </c>
      <c r="B83" s="15" t="s">
        <v>201</v>
      </c>
      <c r="C83" s="15" t="s">
        <v>885</v>
      </c>
      <c r="D83" s="15" t="s">
        <v>35</v>
      </c>
      <c r="E83" s="15" t="s">
        <v>487</v>
      </c>
      <c r="F83" s="15" t="s">
        <v>27</v>
      </c>
      <c r="G83" s="16" t="s">
        <v>201</v>
      </c>
      <c r="H83" s="16" t="s">
        <v>941</v>
      </c>
      <c r="I83" s="36" t="s">
        <v>504</v>
      </c>
      <c r="J83" s="36" t="s">
        <v>1246</v>
      </c>
      <c r="K83" s="16" t="s">
        <v>202</v>
      </c>
      <c r="L83" s="17" t="s">
        <v>852</v>
      </c>
      <c r="M83" s="48" t="s">
        <v>639</v>
      </c>
      <c r="N83" s="48" t="s">
        <v>639</v>
      </c>
      <c r="O83" s="18" t="s">
        <v>886</v>
      </c>
      <c r="P83" s="18" t="s">
        <v>966</v>
      </c>
      <c r="Q83" s="18" t="s">
        <v>888</v>
      </c>
      <c r="R83" s="40">
        <v>45923</v>
      </c>
      <c r="S83" s="19"/>
    </row>
    <row r="84" spans="1:19" ht="57.6" x14ac:dyDescent="0.3">
      <c r="A84" s="14">
        <v>82</v>
      </c>
      <c r="B84" s="15" t="s">
        <v>203</v>
      </c>
      <c r="C84" s="15" t="s">
        <v>1100</v>
      </c>
      <c r="D84" s="15" t="s">
        <v>18</v>
      </c>
      <c r="E84" s="15" t="s">
        <v>494</v>
      </c>
      <c r="F84" s="15" t="s">
        <v>139</v>
      </c>
      <c r="G84" s="16" t="s">
        <v>665</v>
      </c>
      <c r="H84" s="16" t="s">
        <v>941</v>
      </c>
      <c r="I84" s="36" t="s">
        <v>551</v>
      </c>
      <c r="J84" s="36" t="s">
        <v>619</v>
      </c>
      <c r="K84" s="16" t="s">
        <v>204</v>
      </c>
      <c r="L84" s="17" t="s">
        <v>852</v>
      </c>
      <c r="M84" s="48" t="s">
        <v>639</v>
      </c>
      <c r="N84" s="48" t="s">
        <v>639</v>
      </c>
      <c r="O84" s="18" t="s">
        <v>886</v>
      </c>
      <c r="P84" s="18" t="s">
        <v>967</v>
      </c>
      <c r="Q84" s="18" t="s">
        <v>888</v>
      </c>
      <c r="R84" s="40">
        <v>45923</v>
      </c>
      <c r="S84" s="19"/>
    </row>
    <row r="85" spans="1:19" ht="43.2" x14ac:dyDescent="0.3">
      <c r="A85" s="14">
        <v>83</v>
      </c>
      <c r="B85" s="15" t="s">
        <v>205</v>
      </c>
      <c r="C85" s="15" t="s">
        <v>885</v>
      </c>
      <c r="D85" s="15" t="s">
        <v>35</v>
      </c>
      <c r="E85" s="15" t="s">
        <v>487</v>
      </c>
      <c r="F85" s="15" t="s">
        <v>34</v>
      </c>
      <c r="G85" s="16" t="s">
        <v>677</v>
      </c>
      <c r="H85" s="16" t="s">
        <v>941</v>
      </c>
      <c r="I85" s="36" t="s">
        <v>552</v>
      </c>
      <c r="J85" s="36" t="s">
        <v>1249</v>
      </c>
      <c r="K85" s="16" t="s">
        <v>206</v>
      </c>
      <c r="L85" s="17" t="s">
        <v>852</v>
      </c>
      <c r="M85" s="48" t="s">
        <v>639</v>
      </c>
      <c r="N85" s="48" t="s">
        <v>639</v>
      </c>
      <c r="O85" s="18" t="s">
        <v>886</v>
      </c>
      <c r="P85" s="18" t="s">
        <v>968</v>
      </c>
      <c r="Q85" s="18" t="s">
        <v>868</v>
      </c>
      <c r="R85" s="40">
        <v>45923</v>
      </c>
      <c r="S85" s="19"/>
    </row>
    <row r="86" spans="1:19" ht="43.2" x14ac:dyDescent="0.3">
      <c r="A86" s="14">
        <v>84</v>
      </c>
      <c r="B86" s="15" t="s">
        <v>207</v>
      </c>
      <c r="C86" s="15" t="s">
        <v>885</v>
      </c>
      <c r="D86" s="15" t="s">
        <v>18</v>
      </c>
      <c r="E86" s="15" t="s">
        <v>494</v>
      </c>
      <c r="F86" s="15" t="s">
        <v>27</v>
      </c>
      <c r="G86" s="16" t="s">
        <v>697</v>
      </c>
      <c r="H86" s="16" t="s">
        <v>941</v>
      </c>
      <c r="I86" s="36" t="s">
        <v>553</v>
      </c>
      <c r="J86" s="36" t="s">
        <v>1248</v>
      </c>
      <c r="K86" s="16" t="s">
        <v>208</v>
      </c>
      <c r="L86" s="17" t="s">
        <v>852</v>
      </c>
      <c r="M86" s="48" t="s">
        <v>639</v>
      </c>
      <c r="N86" s="48" t="s">
        <v>639</v>
      </c>
      <c r="O86" s="18" t="s">
        <v>886</v>
      </c>
      <c r="P86" s="18" t="s">
        <v>969</v>
      </c>
      <c r="Q86" s="18" t="s">
        <v>888</v>
      </c>
      <c r="R86" s="40">
        <v>45923</v>
      </c>
      <c r="S86" s="19"/>
    </row>
    <row r="87" spans="1:19" ht="43.2" x14ac:dyDescent="0.3">
      <c r="A87" s="14">
        <v>85</v>
      </c>
      <c r="B87" s="15" t="s">
        <v>209</v>
      </c>
      <c r="C87" s="15" t="s">
        <v>885</v>
      </c>
      <c r="D87" s="15" t="s">
        <v>18</v>
      </c>
      <c r="E87" s="15" t="s">
        <v>494</v>
      </c>
      <c r="F87" s="15" t="s">
        <v>24</v>
      </c>
      <c r="G87" s="16" t="s">
        <v>698</v>
      </c>
      <c r="H87" s="16" t="s">
        <v>941</v>
      </c>
      <c r="I87" s="36" t="s">
        <v>497</v>
      </c>
      <c r="J87" s="36" t="s">
        <v>1241</v>
      </c>
      <c r="K87" s="16" t="s">
        <v>210</v>
      </c>
      <c r="L87" s="17" t="s">
        <v>852</v>
      </c>
      <c r="M87" s="48" t="s">
        <v>639</v>
      </c>
      <c r="N87" s="48" t="s">
        <v>639</v>
      </c>
      <c r="O87" s="18" t="s">
        <v>886</v>
      </c>
      <c r="P87" s="18" t="s">
        <v>970</v>
      </c>
      <c r="Q87" s="18" t="s">
        <v>888</v>
      </c>
      <c r="R87" s="40">
        <v>45923</v>
      </c>
      <c r="S87" s="19"/>
    </row>
    <row r="88" spans="1:19" ht="43.2" x14ac:dyDescent="0.3">
      <c r="A88" s="14">
        <v>86</v>
      </c>
      <c r="B88" s="15" t="s">
        <v>211</v>
      </c>
      <c r="C88" s="15" t="s">
        <v>885</v>
      </c>
      <c r="D88" s="15" t="s">
        <v>18</v>
      </c>
      <c r="E88" s="15" t="s">
        <v>659</v>
      </c>
      <c r="F88" s="15" t="s">
        <v>54</v>
      </c>
      <c r="G88" s="16" t="s">
        <v>699</v>
      </c>
      <c r="H88" s="16" t="s">
        <v>941</v>
      </c>
      <c r="I88" s="36" t="s">
        <v>554</v>
      </c>
      <c r="J88" s="36" t="s">
        <v>1241</v>
      </c>
      <c r="K88" s="16" t="s">
        <v>212</v>
      </c>
      <c r="L88" s="17" t="s">
        <v>852</v>
      </c>
      <c r="M88" s="48" t="s">
        <v>639</v>
      </c>
      <c r="N88" s="48" t="s">
        <v>639</v>
      </c>
      <c r="O88" s="18" t="s">
        <v>886</v>
      </c>
      <c r="P88" s="18" t="s">
        <v>971</v>
      </c>
      <c r="Q88" s="18" t="s">
        <v>888</v>
      </c>
      <c r="R88" s="40">
        <v>45923</v>
      </c>
      <c r="S88" s="19"/>
    </row>
    <row r="89" spans="1:19" ht="28.8" x14ac:dyDescent="0.3">
      <c r="A89" s="14">
        <v>87</v>
      </c>
      <c r="B89" s="15" t="s">
        <v>213</v>
      </c>
      <c r="C89" s="15" t="s">
        <v>885</v>
      </c>
      <c r="D89" s="15" t="s">
        <v>18</v>
      </c>
      <c r="E89" s="15" t="s">
        <v>494</v>
      </c>
      <c r="F89" s="15" t="s">
        <v>214</v>
      </c>
      <c r="G89" s="16" t="s">
        <v>700</v>
      </c>
      <c r="H89" s="16" t="s">
        <v>941</v>
      </c>
      <c r="I89" s="36" t="s">
        <v>497</v>
      </c>
      <c r="J89" s="36" t="s">
        <v>1241</v>
      </c>
      <c r="K89" s="16" t="s">
        <v>215</v>
      </c>
      <c r="L89" s="17" t="s">
        <v>852</v>
      </c>
      <c r="M89" s="48" t="s">
        <v>639</v>
      </c>
      <c r="N89" s="48" t="s">
        <v>639</v>
      </c>
      <c r="O89" s="18" t="s">
        <v>886</v>
      </c>
      <c r="P89" s="18" t="s">
        <v>972</v>
      </c>
      <c r="Q89" s="18" t="s">
        <v>888</v>
      </c>
      <c r="R89" s="40">
        <v>45923</v>
      </c>
      <c r="S89" s="19"/>
    </row>
    <row r="90" spans="1:19" ht="43.2" x14ac:dyDescent="0.3">
      <c r="A90" s="14">
        <v>88</v>
      </c>
      <c r="B90" s="15" t="s">
        <v>216</v>
      </c>
      <c r="C90" s="15" t="s">
        <v>885</v>
      </c>
      <c r="D90" s="15" t="s">
        <v>18</v>
      </c>
      <c r="E90" s="15" t="s">
        <v>620</v>
      </c>
      <c r="F90" s="15" t="s">
        <v>27</v>
      </c>
      <c r="G90" s="16" t="s">
        <v>625</v>
      </c>
      <c r="H90" s="16" t="s">
        <v>941</v>
      </c>
      <c r="I90" s="36" t="s">
        <v>555</v>
      </c>
      <c r="J90" s="36" t="s">
        <v>1245</v>
      </c>
      <c r="K90" s="16" t="s">
        <v>217</v>
      </c>
      <c r="L90" s="17" t="s">
        <v>852</v>
      </c>
      <c r="M90" s="48" t="s">
        <v>639</v>
      </c>
      <c r="N90" s="48" t="s">
        <v>639</v>
      </c>
      <c r="O90" s="18" t="s">
        <v>886</v>
      </c>
      <c r="P90" s="18" t="s">
        <v>973</v>
      </c>
      <c r="Q90" s="18" t="s">
        <v>888</v>
      </c>
      <c r="R90" s="40">
        <v>45923</v>
      </c>
      <c r="S90" s="19"/>
    </row>
    <row r="91" spans="1:19" ht="43.2" x14ac:dyDescent="0.3">
      <c r="A91" s="14">
        <v>89</v>
      </c>
      <c r="B91" s="15" t="s">
        <v>218</v>
      </c>
      <c r="C91" s="15" t="s">
        <v>885</v>
      </c>
      <c r="D91" s="15" t="s">
        <v>18</v>
      </c>
      <c r="E91" s="15" t="s">
        <v>494</v>
      </c>
      <c r="F91" s="15" t="s">
        <v>27</v>
      </c>
      <c r="G91" s="16" t="s">
        <v>701</v>
      </c>
      <c r="H91" s="16" t="s">
        <v>941</v>
      </c>
      <c r="I91" s="36" t="s">
        <v>556</v>
      </c>
      <c r="J91" s="36" t="s">
        <v>1249</v>
      </c>
      <c r="K91" s="16" t="s">
        <v>219</v>
      </c>
      <c r="L91" s="17" t="s">
        <v>852</v>
      </c>
      <c r="M91" s="48" t="s">
        <v>639</v>
      </c>
      <c r="N91" s="48" t="s">
        <v>639</v>
      </c>
      <c r="O91" s="18" t="s">
        <v>886</v>
      </c>
      <c r="P91" s="18" t="s">
        <v>974</v>
      </c>
      <c r="Q91" s="18" t="s">
        <v>888</v>
      </c>
      <c r="R91" s="40">
        <v>45923</v>
      </c>
      <c r="S91" s="19"/>
    </row>
    <row r="92" spans="1:19" ht="43.2" x14ac:dyDescent="0.3">
      <c r="A92" s="14">
        <v>90</v>
      </c>
      <c r="B92" s="15" t="s">
        <v>220</v>
      </c>
      <c r="C92" s="15" t="s">
        <v>885</v>
      </c>
      <c r="D92" s="15" t="s">
        <v>18</v>
      </c>
      <c r="E92" s="15" t="s">
        <v>623</v>
      </c>
      <c r="F92" s="15" t="s">
        <v>78</v>
      </c>
      <c r="G92" s="16" t="s">
        <v>702</v>
      </c>
      <c r="H92" s="16" t="s">
        <v>941</v>
      </c>
      <c r="I92" s="36" t="s">
        <v>557</v>
      </c>
      <c r="J92" s="36" t="s">
        <v>1248</v>
      </c>
      <c r="K92" s="16" t="s">
        <v>221</v>
      </c>
      <c r="L92" s="17" t="s">
        <v>852</v>
      </c>
      <c r="M92" s="48" t="s">
        <v>639</v>
      </c>
      <c r="N92" s="48" t="s">
        <v>639</v>
      </c>
      <c r="O92" s="18" t="s">
        <v>886</v>
      </c>
      <c r="P92" s="18" t="s">
        <v>975</v>
      </c>
      <c r="Q92" s="18" t="s">
        <v>888</v>
      </c>
      <c r="R92" s="40">
        <v>45923</v>
      </c>
      <c r="S92" s="19"/>
    </row>
    <row r="93" spans="1:19" x14ac:dyDescent="0.3">
      <c r="A93" s="14">
        <v>91</v>
      </c>
      <c r="B93" s="15" t="s">
        <v>222</v>
      </c>
      <c r="C93" s="15" t="s">
        <v>885</v>
      </c>
      <c r="D93" s="15" t="s">
        <v>18</v>
      </c>
      <c r="E93" s="15" t="s">
        <v>494</v>
      </c>
      <c r="F93" s="15" t="s">
        <v>27</v>
      </c>
      <c r="G93" s="16" t="s">
        <v>703</v>
      </c>
      <c r="H93" s="16" t="s">
        <v>941</v>
      </c>
      <c r="I93" s="36" t="s">
        <v>497</v>
      </c>
      <c r="J93" s="36" t="s">
        <v>1241</v>
      </c>
      <c r="K93" s="16" t="s">
        <v>223</v>
      </c>
      <c r="L93" s="17" t="s">
        <v>852</v>
      </c>
      <c r="M93" s="48" t="s">
        <v>639</v>
      </c>
      <c r="N93" s="48" t="s">
        <v>639</v>
      </c>
      <c r="O93" s="18" t="s">
        <v>886</v>
      </c>
      <c r="P93" s="18" t="s">
        <v>976</v>
      </c>
      <c r="Q93" s="18" t="s">
        <v>888</v>
      </c>
      <c r="R93" s="40">
        <v>45923</v>
      </c>
      <c r="S93" s="19"/>
    </row>
    <row r="94" spans="1:19" ht="43.2" x14ac:dyDescent="0.3">
      <c r="A94" s="14">
        <v>92</v>
      </c>
      <c r="B94" s="15" t="s">
        <v>224</v>
      </c>
      <c r="C94" s="15" t="s">
        <v>885</v>
      </c>
      <c r="D94" s="15" t="s">
        <v>18</v>
      </c>
      <c r="E94" s="15" t="s">
        <v>494</v>
      </c>
      <c r="F94" s="15" t="s">
        <v>27</v>
      </c>
      <c r="G94" s="16" t="s">
        <v>704</v>
      </c>
      <c r="H94" s="16" t="s">
        <v>941</v>
      </c>
      <c r="I94" s="36" t="s">
        <v>497</v>
      </c>
      <c r="J94" s="36" t="s">
        <v>1241</v>
      </c>
      <c r="K94" s="16" t="s">
        <v>225</v>
      </c>
      <c r="L94" s="17" t="s">
        <v>852</v>
      </c>
      <c r="M94" s="48" t="s">
        <v>639</v>
      </c>
      <c r="N94" s="48" t="s">
        <v>639</v>
      </c>
      <c r="O94" s="18" t="s">
        <v>886</v>
      </c>
      <c r="P94" s="18" t="s">
        <v>977</v>
      </c>
      <c r="Q94" s="18" t="s">
        <v>888</v>
      </c>
      <c r="R94" s="40">
        <v>45923</v>
      </c>
      <c r="S94" s="19"/>
    </row>
    <row r="95" spans="1:19" x14ac:dyDescent="0.3">
      <c r="A95" s="14">
        <v>93</v>
      </c>
      <c r="B95" s="15" t="s">
        <v>226</v>
      </c>
      <c r="C95" s="15" t="s">
        <v>885</v>
      </c>
      <c r="D95" s="15" t="s">
        <v>18</v>
      </c>
      <c r="E95" s="15" t="s">
        <v>494</v>
      </c>
      <c r="F95" s="15" t="s">
        <v>27</v>
      </c>
      <c r="G95" s="16" t="s">
        <v>705</v>
      </c>
      <c r="H95" s="16" t="s">
        <v>941</v>
      </c>
      <c r="I95" s="36" t="s">
        <v>497</v>
      </c>
      <c r="J95" s="36" t="s">
        <v>1241</v>
      </c>
      <c r="K95" s="16" t="s">
        <v>227</v>
      </c>
      <c r="L95" s="17" t="s">
        <v>852</v>
      </c>
      <c r="M95" s="48" t="s">
        <v>639</v>
      </c>
      <c r="N95" s="48" t="s">
        <v>639</v>
      </c>
      <c r="O95" s="18" t="s">
        <v>886</v>
      </c>
      <c r="P95" s="18" t="s">
        <v>978</v>
      </c>
      <c r="Q95" s="18" t="s">
        <v>888</v>
      </c>
      <c r="R95" s="40">
        <v>45923</v>
      </c>
      <c r="S95" s="19"/>
    </row>
    <row r="96" spans="1:19" x14ac:dyDescent="0.3">
      <c r="A96" s="14">
        <v>94</v>
      </c>
      <c r="B96" s="15" t="s">
        <v>228</v>
      </c>
      <c r="C96" s="15" t="s">
        <v>1100</v>
      </c>
      <c r="D96" s="15" t="s">
        <v>85</v>
      </c>
      <c r="E96" s="15" t="s">
        <v>684</v>
      </c>
      <c r="F96" s="15" t="s">
        <v>229</v>
      </c>
      <c r="G96" s="16" t="s">
        <v>706</v>
      </c>
      <c r="H96" s="45">
        <v>45222</v>
      </c>
      <c r="I96" s="36" t="s">
        <v>499</v>
      </c>
      <c r="J96" s="36" t="s">
        <v>619</v>
      </c>
      <c r="K96" s="16" t="s">
        <v>230</v>
      </c>
      <c r="L96" s="17" t="s">
        <v>1097</v>
      </c>
      <c r="M96" s="17" t="s">
        <v>1140</v>
      </c>
      <c r="N96" s="17" t="s">
        <v>1226</v>
      </c>
      <c r="O96" s="18" t="s">
        <v>1152</v>
      </c>
      <c r="P96" s="43" t="s">
        <v>1154</v>
      </c>
      <c r="Q96" s="18" t="s">
        <v>888</v>
      </c>
      <c r="R96" s="40">
        <v>45919</v>
      </c>
      <c r="S96" s="19" t="s">
        <v>1234</v>
      </c>
    </row>
    <row r="97" spans="1:19" ht="43.2" x14ac:dyDescent="0.3">
      <c r="A97" s="14">
        <v>95</v>
      </c>
      <c r="B97" s="15" t="s">
        <v>231</v>
      </c>
      <c r="C97" s="15" t="s">
        <v>885</v>
      </c>
      <c r="D97" s="15" t="s">
        <v>18</v>
      </c>
      <c r="E97" s="15" t="s">
        <v>494</v>
      </c>
      <c r="F97" s="15" t="s">
        <v>65</v>
      </c>
      <c r="G97" s="16" t="s">
        <v>707</v>
      </c>
      <c r="H97" s="16" t="s">
        <v>941</v>
      </c>
      <c r="I97" s="36" t="s">
        <v>558</v>
      </c>
      <c r="J97" s="36" t="s">
        <v>619</v>
      </c>
      <c r="K97" s="16" t="s">
        <v>232</v>
      </c>
      <c r="L97" s="17" t="s">
        <v>852</v>
      </c>
      <c r="M97" s="48" t="s">
        <v>639</v>
      </c>
      <c r="N97" s="48" t="s">
        <v>639</v>
      </c>
      <c r="O97" s="18" t="s">
        <v>886</v>
      </c>
      <c r="P97" s="18" t="s">
        <v>980</v>
      </c>
      <c r="Q97" s="18" t="s">
        <v>888</v>
      </c>
      <c r="R97" s="40">
        <v>45923</v>
      </c>
      <c r="S97" s="19"/>
    </row>
    <row r="98" spans="1:19" ht="43.2" x14ac:dyDescent="0.3">
      <c r="A98" s="14">
        <v>96</v>
      </c>
      <c r="B98" s="15" t="s">
        <v>233</v>
      </c>
      <c r="C98" s="15" t="s">
        <v>885</v>
      </c>
      <c r="D98" s="15" t="s">
        <v>18</v>
      </c>
      <c r="E98" s="15" t="s">
        <v>494</v>
      </c>
      <c r="F98" s="15" t="s">
        <v>181</v>
      </c>
      <c r="G98" s="16" t="s">
        <v>708</v>
      </c>
      <c r="H98" s="16" t="s">
        <v>941</v>
      </c>
      <c r="I98" s="36" t="s">
        <v>504</v>
      </c>
      <c r="J98" s="36" t="s">
        <v>1246</v>
      </c>
      <c r="K98" s="16" t="s">
        <v>234</v>
      </c>
      <c r="L98" s="17" t="s">
        <v>852</v>
      </c>
      <c r="M98" s="48" t="s">
        <v>639</v>
      </c>
      <c r="N98" s="48" t="s">
        <v>639</v>
      </c>
      <c r="O98" s="18" t="s">
        <v>886</v>
      </c>
      <c r="P98" s="18" t="s">
        <v>979</v>
      </c>
      <c r="Q98" s="18" t="s">
        <v>888</v>
      </c>
      <c r="R98" s="40">
        <v>45923</v>
      </c>
      <c r="S98" s="19"/>
    </row>
    <row r="99" spans="1:19" ht="28.8" x14ac:dyDescent="0.3">
      <c r="A99" s="14">
        <v>97</v>
      </c>
      <c r="B99" s="15" t="s">
        <v>235</v>
      </c>
      <c r="C99" s="15" t="s">
        <v>885</v>
      </c>
      <c r="D99" s="15" t="s">
        <v>18</v>
      </c>
      <c r="E99" s="15" t="s">
        <v>620</v>
      </c>
      <c r="F99" s="15" t="s">
        <v>27</v>
      </c>
      <c r="G99" s="16" t="s">
        <v>653</v>
      </c>
      <c r="H99" s="45">
        <v>45068</v>
      </c>
      <c r="I99" s="36" t="s">
        <v>504</v>
      </c>
      <c r="J99" s="36" t="s">
        <v>619</v>
      </c>
      <c r="K99" s="16" t="s">
        <v>236</v>
      </c>
      <c r="L99" s="17" t="s">
        <v>1097</v>
      </c>
      <c r="M99" s="17" t="s">
        <v>1140</v>
      </c>
      <c r="N99" s="17" t="s">
        <v>1227</v>
      </c>
      <c r="O99" s="18" t="s">
        <v>1152</v>
      </c>
      <c r="P99" s="43" t="s">
        <v>1155</v>
      </c>
      <c r="Q99" s="18" t="s">
        <v>888</v>
      </c>
      <c r="R99" s="40">
        <v>45919</v>
      </c>
      <c r="S99" s="19"/>
    </row>
    <row r="100" spans="1:19" ht="43.2" x14ac:dyDescent="0.3">
      <c r="A100" s="14">
        <v>98</v>
      </c>
      <c r="B100" s="15" t="s">
        <v>237</v>
      </c>
      <c r="C100" s="15" t="s">
        <v>885</v>
      </c>
      <c r="D100" s="15" t="s">
        <v>18</v>
      </c>
      <c r="E100" s="15" t="s">
        <v>659</v>
      </c>
      <c r="F100" s="15" t="s">
        <v>238</v>
      </c>
      <c r="G100" s="16" t="s">
        <v>709</v>
      </c>
      <c r="H100" s="16" t="s">
        <v>941</v>
      </c>
      <c r="I100" s="36" t="s">
        <v>559</v>
      </c>
      <c r="J100" s="36" t="s">
        <v>1242</v>
      </c>
      <c r="K100" s="16" t="s">
        <v>239</v>
      </c>
      <c r="L100" s="17" t="s">
        <v>852</v>
      </c>
      <c r="M100" s="48" t="s">
        <v>639</v>
      </c>
      <c r="N100" s="48" t="s">
        <v>639</v>
      </c>
      <c r="O100" s="18" t="s">
        <v>886</v>
      </c>
      <c r="P100" s="18" t="s">
        <v>981</v>
      </c>
      <c r="Q100" s="18" t="s">
        <v>888</v>
      </c>
      <c r="R100" s="40">
        <v>45923</v>
      </c>
      <c r="S100" s="19"/>
    </row>
    <row r="101" spans="1:19" ht="28.8" x14ac:dyDescent="0.3">
      <c r="A101" s="14">
        <v>99</v>
      </c>
      <c r="B101" s="15" t="s">
        <v>240</v>
      </c>
      <c r="C101" s="15" t="s">
        <v>885</v>
      </c>
      <c r="D101" s="15" t="s">
        <v>18</v>
      </c>
      <c r="E101" s="15" t="s">
        <v>659</v>
      </c>
      <c r="F101" s="15" t="s">
        <v>27</v>
      </c>
      <c r="G101" s="16" t="s">
        <v>710</v>
      </c>
      <c r="H101" s="16" t="s">
        <v>941</v>
      </c>
      <c r="I101" s="36" t="s">
        <v>560</v>
      </c>
      <c r="J101" s="36" t="s">
        <v>619</v>
      </c>
      <c r="K101" s="16" t="s">
        <v>241</v>
      </c>
      <c r="L101" s="17" t="s">
        <v>852</v>
      </c>
      <c r="M101" s="48" t="s">
        <v>639</v>
      </c>
      <c r="N101" s="48" t="s">
        <v>639</v>
      </c>
      <c r="O101" s="18" t="s">
        <v>886</v>
      </c>
      <c r="P101" s="18" t="s">
        <v>982</v>
      </c>
      <c r="Q101" s="18" t="s">
        <v>888</v>
      </c>
      <c r="R101" s="40">
        <v>45923</v>
      </c>
      <c r="S101" s="19"/>
    </row>
    <row r="102" spans="1:19" ht="43.2" x14ac:dyDescent="0.3">
      <c r="A102" s="14">
        <v>100</v>
      </c>
      <c r="B102" s="15" t="s">
        <v>242</v>
      </c>
      <c r="C102" s="15" t="s">
        <v>885</v>
      </c>
      <c r="D102" s="15" t="s">
        <v>18</v>
      </c>
      <c r="E102" s="15" t="s">
        <v>691</v>
      </c>
      <c r="F102" s="15" t="s">
        <v>54</v>
      </c>
      <c r="G102" s="16" t="s">
        <v>711</v>
      </c>
      <c r="H102" s="16" t="s">
        <v>941</v>
      </c>
      <c r="I102" s="36" t="s">
        <v>499</v>
      </c>
      <c r="J102" s="36" t="s">
        <v>1242</v>
      </c>
      <c r="K102" s="16" t="s">
        <v>243</v>
      </c>
      <c r="L102" s="17" t="s">
        <v>852</v>
      </c>
      <c r="M102" s="48" t="s">
        <v>639</v>
      </c>
      <c r="N102" s="48" t="s">
        <v>639</v>
      </c>
      <c r="O102" s="18" t="s">
        <v>886</v>
      </c>
      <c r="P102" s="18" t="s">
        <v>983</v>
      </c>
      <c r="Q102" s="18" t="s">
        <v>888</v>
      </c>
      <c r="R102" s="40">
        <v>45923</v>
      </c>
      <c r="S102" s="19"/>
    </row>
    <row r="103" spans="1:19" ht="43.2" x14ac:dyDescent="0.3">
      <c r="A103" s="14">
        <v>101</v>
      </c>
      <c r="B103" s="15" t="s">
        <v>244</v>
      </c>
      <c r="C103" s="15" t="s">
        <v>885</v>
      </c>
      <c r="D103" s="15" t="s">
        <v>18</v>
      </c>
      <c r="E103" s="15" t="s">
        <v>659</v>
      </c>
      <c r="F103" s="15" t="s">
        <v>31</v>
      </c>
      <c r="G103" s="16" t="s">
        <v>712</v>
      </c>
      <c r="H103" s="16" t="s">
        <v>941</v>
      </c>
      <c r="I103" s="36" t="s">
        <v>554</v>
      </c>
      <c r="J103" s="36" t="s">
        <v>1241</v>
      </c>
      <c r="K103" s="16" t="s">
        <v>245</v>
      </c>
      <c r="L103" s="17" t="s">
        <v>852</v>
      </c>
      <c r="M103" s="48" t="s">
        <v>639</v>
      </c>
      <c r="N103" s="48" t="s">
        <v>639</v>
      </c>
      <c r="O103" s="18" t="s">
        <v>886</v>
      </c>
      <c r="P103" s="18" t="s">
        <v>984</v>
      </c>
      <c r="Q103" s="18" t="s">
        <v>888</v>
      </c>
      <c r="R103" s="40">
        <v>45923</v>
      </c>
      <c r="S103" s="19"/>
    </row>
    <row r="104" spans="1:19" ht="28.8" x14ac:dyDescent="0.3">
      <c r="A104" s="14">
        <v>102</v>
      </c>
      <c r="B104" s="15" t="s">
        <v>246</v>
      </c>
      <c r="C104" s="15" t="s">
        <v>1100</v>
      </c>
      <c r="D104" s="15" t="s">
        <v>18</v>
      </c>
      <c r="E104" s="15" t="s">
        <v>659</v>
      </c>
      <c r="F104" s="15" t="s">
        <v>27</v>
      </c>
      <c r="G104" s="16" t="s">
        <v>625</v>
      </c>
      <c r="H104" s="45">
        <v>44920</v>
      </c>
      <c r="I104" s="36" t="s">
        <v>561</v>
      </c>
      <c r="J104" s="36" t="s">
        <v>619</v>
      </c>
      <c r="K104" s="16" t="s">
        <v>247</v>
      </c>
      <c r="L104" s="17" t="s">
        <v>1097</v>
      </c>
      <c r="M104" s="17" t="s">
        <v>1140</v>
      </c>
      <c r="N104" s="17" t="s">
        <v>1226</v>
      </c>
      <c r="O104" s="18" t="s">
        <v>1152</v>
      </c>
      <c r="P104" s="43" t="s">
        <v>1156</v>
      </c>
      <c r="Q104" s="18" t="s">
        <v>888</v>
      </c>
      <c r="R104" s="40">
        <v>45919</v>
      </c>
      <c r="S104" s="19"/>
    </row>
    <row r="105" spans="1:19" ht="43.2" x14ac:dyDescent="0.3">
      <c r="A105" s="14">
        <v>103</v>
      </c>
      <c r="B105" s="15" t="s">
        <v>248</v>
      </c>
      <c r="C105" s="15" t="s">
        <v>885</v>
      </c>
      <c r="D105" s="15" t="s">
        <v>18</v>
      </c>
      <c r="E105" s="15" t="s">
        <v>494</v>
      </c>
      <c r="F105" s="15" t="s">
        <v>249</v>
      </c>
      <c r="G105" s="16" t="s">
        <v>713</v>
      </c>
      <c r="H105" s="16" t="s">
        <v>941</v>
      </c>
      <c r="I105" s="36" t="s">
        <v>562</v>
      </c>
      <c r="J105" s="36" t="s">
        <v>1249</v>
      </c>
      <c r="K105" s="16" t="s">
        <v>250</v>
      </c>
      <c r="L105" s="17" t="s">
        <v>852</v>
      </c>
      <c r="M105" s="48" t="s">
        <v>639</v>
      </c>
      <c r="N105" s="48" t="s">
        <v>639</v>
      </c>
      <c r="O105" s="18" t="s">
        <v>886</v>
      </c>
      <c r="P105" s="18" t="s">
        <v>985</v>
      </c>
      <c r="Q105" s="18" t="s">
        <v>888</v>
      </c>
      <c r="R105" s="40">
        <v>45923</v>
      </c>
      <c r="S105" s="19"/>
    </row>
    <row r="106" spans="1:19" x14ac:dyDescent="0.3">
      <c r="A106" s="14">
        <v>104</v>
      </c>
      <c r="B106" s="15" t="s">
        <v>251</v>
      </c>
      <c r="C106" s="15" t="s">
        <v>885</v>
      </c>
      <c r="D106" s="15" t="s">
        <v>18</v>
      </c>
      <c r="E106" s="15" t="s">
        <v>494</v>
      </c>
      <c r="F106" s="15" t="s">
        <v>27</v>
      </c>
      <c r="G106" s="16" t="s">
        <v>714</v>
      </c>
      <c r="H106" s="16" t="s">
        <v>941</v>
      </c>
      <c r="I106" s="36" t="s">
        <v>499</v>
      </c>
      <c r="J106" s="36" t="s">
        <v>1242</v>
      </c>
      <c r="K106" s="16" t="s">
        <v>252</v>
      </c>
      <c r="L106" s="17" t="s">
        <v>852</v>
      </c>
      <c r="M106" s="48" t="s">
        <v>639</v>
      </c>
      <c r="N106" s="48" t="s">
        <v>639</v>
      </c>
      <c r="O106" s="18" t="s">
        <v>886</v>
      </c>
      <c r="P106" s="18" t="s">
        <v>986</v>
      </c>
      <c r="Q106" s="18" t="s">
        <v>888</v>
      </c>
      <c r="R106" s="40">
        <v>45923</v>
      </c>
      <c r="S106" s="19"/>
    </row>
    <row r="107" spans="1:19" ht="28.8" x14ac:dyDescent="0.3">
      <c r="A107" s="14">
        <v>105</v>
      </c>
      <c r="B107" s="15" t="s">
        <v>253</v>
      </c>
      <c r="C107" s="15" t="s">
        <v>885</v>
      </c>
      <c r="D107" s="15" t="s">
        <v>18</v>
      </c>
      <c r="E107" s="15" t="s">
        <v>639</v>
      </c>
      <c r="F107" s="15" t="s">
        <v>254</v>
      </c>
      <c r="G107" s="16" t="s">
        <v>715</v>
      </c>
      <c r="H107" s="16" t="s">
        <v>941</v>
      </c>
      <c r="I107" s="36" t="s">
        <v>560</v>
      </c>
      <c r="J107" s="36" t="s">
        <v>619</v>
      </c>
      <c r="K107" s="16" t="s">
        <v>255</v>
      </c>
      <c r="L107" s="17" t="s">
        <v>852</v>
      </c>
      <c r="M107" s="48" t="s">
        <v>639</v>
      </c>
      <c r="N107" s="48" t="s">
        <v>639</v>
      </c>
      <c r="O107" s="18" t="s">
        <v>886</v>
      </c>
      <c r="P107" s="18" t="s">
        <v>987</v>
      </c>
      <c r="Q107" s="18" t="s">
        <v>888</v>
      </c>
      <c r="R107" s="40">
        <v>45923</v>
      </c>
      <c r="S107" s="19"/>
    </row>
    <row r="108" spans="1:19" ht="43.2" x14ac:dyDescent="0.3">
      <c r="A108" s="14">
        <v>106</v>
      </c>
      <c r="B108" s="15" t="s">
        <v>256</v>
      </c>
      <c r="C108" s="15" t="s">
        <v>885</v>
      </c>
      <c r="D108" s="15" t="s">
        <v>35</v>
      </c>
      <c r="E108" s="15" t="s">
        <v>717</v>
      </c>
      <c r="F108" s="15" t="s">
        <v>24</v>
      </c>
      <c r="G108" s="16" t="s">
        <v>716</v>
      </c>
      <c r="H108" s="16" t="s">
        <v>941</v>
      </c>
      <c r="I108" s="36" t="s">
        <v>563</v>
      </c>
      <c r="J108" s="36" t="s">
        <v>619</v>
      </c>
      <c r="K108" s="16" t="s">
        <v>257</v>
      </c>
      <c r="L108" s="17" t="s">
        <v>852</v>
      </c>
      <c r="M108" s="48" t="s">
        <v>639</v>
      </c>
      <c r="N108" s="48" t="s">
        <v>639</v>
      </c>
      <c r="O108" s="18" t="s">
        <v>886</v>
      </c>
      <c r="P108" s="18" t="s">
        <v>988</v>
      </c>
      <c r="Q108" s="18" t="s">
        <v>888</v>
      </c>
      <c r="R108" s="40">
        <v>45923</v>
      </c>
      <c r="S108" s="19"/>
    </row>
    <row r="109" spans="1:19" ht="28.8" x14ac:dyDescent="0.3">
      <c r="A109" s="14">
        <v>107</v>
      </c>
      <c r="B109" s="15" t="s">
        <v>258</v>
      </c>
      <c r="C109" s="15" t="s">
        <v>885</v>
      </c>
      <c r="D109" s="15" t="s">
        <v>28</v>
      </c>
      <c r="E109" s="15" t="s">
        <v>719</v>
      </c>
      <c r="F109" s="15" t="s">
        <v>78</v>
      </c>
      <c r="G109" s="16" t="s">
        <v>718</v>
      </c>
      <c r="H109" s="16" t="s">
        <v>941</v>
      </c>
      <c r="I109" s="36" t="s">
        <v>504</v>
      </c>
      <c r="J109" s="36" t="s">
        <v>1242</v>
      </c>
      <c r="K109" s="16" t="s">
        <v>259</v>
      </c>
      <c r="L109" s="17" t="s">
        <v>852</v>
      </c>
      <c r="M109" s="48" t="s">
        <v>639</v>
      </c>
      <c r="N109" s="48" t="s">
        <v>639</v>
      </c>
      <c r="O109" s="18" t="s">
        <v>886</v>
      </c>
      <c r="P109" s="18" t="s">
        <v>989</v>
      </c>
      <c r="Q109" s="18" t="s">
        <v>868</v>
      </c>
      <c r="R109" s="40">
        <v>45923</v>
      </c>
      <c r="S109" s="19"/>
    </row>
    <row r="110" spans="1:19" ht="43.2" x14ac:dyDescent="0.3">
      <c r="A110" s="14">
        <v>108</v>
      </c>
      <c r="B110" s="15" t="s">
        <v>260</v>
      </c>
      <c r="C110" s="15" t="s">
        <v>885</v>
      </c>
      <c r="D110" s="15" t="s">
        <v>18</v>
      </c>
      <c r="E110" s="15" t="s">
        <v>624</v>
      </c>
      <c r="F110" s="15" t="s">
        <v>17</v>
      </c>
      <c r="G110" s="16" t="s">
        <v>720</v>
      </c>
      <c r="H110" s="16" t="s">
        <v>941</v>
      </c>
      <c r="I110" s="36" t="s">
        <v>564</v>
      </c>
      <c r="J110" s="36" t="s">
        <v>619</v>
      </c>
      <c r="K110" s="16" t="s">
        <v>261</v>
      </c>
      <c r="L110" s="17" t="s">
        <v>852</v>
      </c>
      <c r="M110" s="48" t="s">
        <v>639</v>
      </c>
      <c r="N110" s="48" t="s">
        <v>639</v>
      </c>
      <c r="O110" s="18" t="s">
        <v>886</v>
      </c>
      <c r="P110" s="18" t="s">
        <v>990</v>
      </c>
      <c r="Q110" s="18" t="s">
        <v>888</v>
      </c>
      <c r="R110" s="40">
        <v>45923</v>
      </c>
      <c r="S110" s="19"/>
    </row>
    <row r="111" spans="1:19" ht="28.8" x14ac:dyDescent="0.3">
      <c r="A111" s="14">
        <v>109</v>
      </c>
      <c r="B111" s="15" t="s">
        <v>262</v>
      </c>
      <c r="C111" s="15" t="s">
        <v>885</v>
      </c>
      <c r="D111" s="15" t="s">
        <v>18</v>
      </c>
      <c r="E111" s="15" t="s">
        <v>659</v>
      </c>
      <c r="F111" s="15" t="s">
        <v>238</v>
      </c>
      <c r="G111" s="16" t="s">
        <v>721</v>
      </c>
      <c r="H111" s="16" t="s">
        <v>941</v>
      </c>
      <c r="I111" s="36" t="s">
        <v>560</v>
      </c>
      <c r="J111" s="36" t="s">
        <v>619</v>
      </c>
      <c r="K111" s="16" t="s">
        <v>263</v>
      </c>
      <c r="L111" s="17" t="s">
        <v>852</v>
      </c>
      <c r="M111" s="48" t="s">
        <v>639</v>
      </c>
      <c r="N111" s="48" t="s">
        <v>639</v>
      </c>
      <c r="O111" s="18" t="s">
        <v>886</v>
      </c>
      <c r="P111" s="18" t="s">
        <v>991</v>
      </c>
      <c r="Q111" s="18" t="s">
        <v>888</v>
      </c>
      <c r="R111" s="40">
        <v>45923</v>
      </c>
      <c r="S111" s="19"/>
    </row>
    <row r="112" spans="1:19" x14ac:dyDescent="0.3">
      <c r="A112" s="14">
        <v>110</v>
      </c>
      <c r="B112" s="15" t="s">
        <v>264</v>
      </c>
      <c r="C112" s="15" t="s">
        <v>885</v>
      </c>
      <c r="D112" s="15" t="s">
        <v>18</v>
      </c>
      <c r="E112" s="15" t="s">
        <v>624</v>
      </c>
      <c r="F112" s="15" t="s">
        <v>27</v>
      </c>
      <c r="G112" s="16" t="s">
        <v>722</v>
      </c>
      <c r="H112" s="16" t="s">
        <v>941</v>
      </c>
      <c r="I112" s="36" t="s">
        <v>497</v>
      </c>
      <c r="J112" s="36" t="s">
        <v>619</v>
      </c>
      <c r="K112" s="16" t="s">
        <v>265</v>
      </c>
      <c r="L112" s="17" t="s">
        <v>852</v>
      </c>
      <c r="M112" s="48" t="s">
        <v>639</v>
      </c>
      <c r="N112" s="48" t="s">
        <v>639</v>
      </c>
      <c r="O112" s="18" t="s">
        <v>886</v>
      </c>
      <c r="P112" s="18" t="s">
        <v>992</v>
      </c>
      <c r="Q112" s="18" t="s">
        <v>888</v>
      </c>
      <c r="R112" s="40">
        <v>45923</v>
      </c>
      <c r="S112" s="19"/>
    </row>
    <row r="113" spans="1:19" ht="28.8" x14ac:dyDescent="0.3">
      <c r="A113" s="14">
        <v>111</v>
      </c>
      <c r="B113" s="15" t="s">
        <v>266</v>
      </c>
      <c r="C113" s="15" t="s">
        <v>885</v>
      </c>
      <c r="D113" s="15" t="s">
        <v>18</v>
      </c>
      <c r="E113" s="15" t="s">
        <v>659</v>
      </c>
      <c r="F113" s="15" t="s">
        <v>95</v>
      </c>
      <c r="G113" s="16" t="s">
        <v>723</v>
      </c>
      <c r="H113" s="45">
        <v>45596</v>
      </c>
      <c r="I113" s="36" t="s">
        <v>565</v>
      </c>
      <c r="J113" s="36" t="s">
        <v>1248</v>
      </c>
      <c r="K113" s="16" t="s">
        <v>267</v>
      </c>
      <c r="L113" s="17" t="s">
        <v>1097</v>
      </c>
      <c r="M113" s="17" t="s">
        <v>1141</v>
      </c>
      <c r="N113" s="17" t="s">
        <v>1227</v>
      </c>
      <c r="O113" s="18" t="s">
        <v>1152</v>
      </c>
      <c r="P113" s="43" t="s">
        <v>1157</v>
      </c>
      <c r="Q113" s="18" t="s">
        <v>888</v>
      </c>
      <c r="R113" s="40">
        <v>45919</v>
      </c>
      <c r="S113" s="19"/>
    </row>
    <row r="114" spans="1:19" ht="43.2" x14ac:dyDescent="0.3">
      <c r="A114" s="14">
        <v>112</v>
      </c>
      <c r="B114" s="15" t="s">
        <v>268</v>
      </c>
      <c r="C114" s="15" t="s">
        <v>885</v>
      </c>
      <c r="D114" s="15" t="s">
        <v>18</v>
      </c>
      <c r="E114" s="15" t="s">
        <v>494</v>
      </c>
      <c r="F114" s="15" t="s">
        <v>54</v>
      </c>
      <c r="G114" s="16" t="s">
        <v>724</v>
      </c>
      <c r="H114" s="16" t="s">
        <v>941</v>
      </c>
      <c r="I114" s="36" t="s">
        <v>566</v>
      </c>
      <c r="J114" s="36" t="s">
        <v>1244</v>
      </c>
      <c r="K114" s="16" t="s">
        <v>269</v>
      </c>
      <c r="L114" s="17" t="s">
        <v>852</v>
      </c>
      <c r="M114" s="48" t="s">
        <v>639</v>
      </c>
      <c r="N114" s="48" t="s">
        <v>639</v>
      </c>
      <c r="O114" s="18" t="s">
        <v>886</v>
      </c>
      <c r="P114" s="18" t="s">
        <v>993</v>
      </c>
      <c r="Q114" s="18" t="s">
        <v>888</v>
      </c>
      <c r="R114" s="40">
        <v>45923</v>
      </c>
      <c r="S114" s="19"/>
    </row>
    <row r="115" spans="1:19" x14ac:dyDescent="0.3">
      <c r="A115" s="14">
        <v>113</v>
      </c>
      <c r="B115" s="15" t="s">
        <v>270</v>
      </c>
      <c r="C115" s="15" t="s">
        <v>885</v>
      </c>
      <c r="D115" s="15" t="s">
        <v>18</v>
      </c>
      <c r="E115" s="15" t="s">
        <v>650</v>
      </c>
      <c r="F115" s="15" t="s">
        <v>17</v>
      </c>
      <c r="G115" s="16" t="s">
        <v>725</v>
      </c>
      <c r="H115" s="16" t="s">
        <v>941</v>
      </c>
      <c r="I115" s="36" t="s">
        <v>567</v>
      </c>
      <c r="J115" s="36" t="s">
        <v>619</v>
      </c>
      <c r="K115" s="16" t="s">
        <v>271</v>
      </c>
      <c r="L115" s="17" t="s">
        <v>852</v>
      </c>
      <c r="M115" s="48" t="s">
        <v>639</v>
      </c>
      <c r="N115" s="48" t="s">
        <v>639</v>
      </c>
      <c r="O115" s="18" t="s">
        <v>886</v>
      </c>
      <c r="P115" s="18" t="s">
        <v>994</v>
      </c>
      <c r="Q115" s="18" t="s">
        <v>888</v>
      </c>
      <c r="R115" s="40">
        <v>45923</v>
      </c>
      <c r="S115" s="19"/>
    </row>
    <row r="116" spans="1:19" ht="57.6" x14ac:dyDescent="0.3">
      <c r="A116" s="14">
        <v>114</v>
      </c>
      <c r="B116" s="15" t="s">
        <v>272</v>
      </c>
      <c r="C116" s="15" t="s">
        <v>885</v>
      </c>
      <c r="D116" s="15" t="s">
        <v>18</v>
      </c>
      <c r="E116" s="15" t="s">
        <v>494</v>
      </c>
      <c r="F116" s="15" t="s">
        <v>27</v>
      </c>
      <c r="G116" s="16" t="s">
        <v>726</v>
      </c>
      <c r="H116" s="16" t="s">
        <v>941</v>
      </c>
      <c r="I116" s="36" t="s">
        <v>568</v>
      </c>
      <c r="J116" s="36" t="s">
        <v>619</v>
      </c>
      <c r="K116" s="16" t="s">
        <v>273</v>
      </c>
      <c r="L116" s="17" t="s">
        <v>852</v>
      </c>
      <c r="M116" s="48" t="s">
        <v>639</v>
      </c>
      <c r="N116" s="48" t="s">
        <v>639</v>
      </c>
      <c r="O116" s="18" t="s">
        <v>886</v>
      </c>
      <c r="P116" s="18" t="s">
        <v>996</v>
      </c>
      <c r="Q116" s="18" t="s">
        <v>888</v>
      </c>
      <c r="R116" s="40">
        <v>45923</v>
      </c>
      <c r="S116" s="19"/>
    </row>
    <row r="117" spans="1:19" ht="43.2" x14ac:dyDescent="0.3">
      <c r="A117" s="14">
        <v>115</v>
      </c>
      <c r="B117" s="15" t="s">
        <v>274</v>
      </c>
      <c r="C117" s="15" t="s">
        <v>885</v>
      </c>
      <c r="D117" s="15" t="s">
        <v>18</v>
      </c>
      <c r="E117" s="15" t="s">
        <v>690</v>
      </c>
      <c r="F117" s="15" t="s">
        <v>75</v>
      </c>
      <c r="G117" s="16" t="s">
        <v>727</v>
      </c>
      <c r="H117" s="16" t="s">
        <v>941</v>
      </c>
      <c r="I117" s="36" t="s">
        <v>560</v>
      </c>
      <c r="J117" s="36" t="s">
        <v>1244</v>
      </c>
      <c r="K117" s="16" t="s">
        <v>275</v>
      </c>
      <c r="L117" s="17" t="s">
        <v>852</v>
      </c>
      <c r="M117" s="48" t="s">
        <v>639</v>
      </c>
      <c r="N117" s="48" t="s">
        <v>639</v>
      </c>
      <c r="O117" s="18" t="s">
        <v>886</v>
      </c>
      <c r="P117" s="18" t="s">
        <v>995</v>
      </c>
      <c r="Q117" s="18" t="s">
        <v>888</v>
      </c>
      <c r="R117" s="40">
        <v>45923</v>
      </c>
      <c r="S117" s="19"/>
    </row>
    <row r="118" spans="1:19" ht="43.2" x14ac:dyDescent="0.3">
      <c r="A118" s="14">
        <v>116</v>
      </c>
      <c r="B118" s="15" t="s">
        <v>276</v>
      </c>
      <c r="C118" s="15" t="s">
        <v>885</v>
      </c>
      <c r="D118" s="15" t="s">
        <v>18</v>
      </c>
      <c r="E118" s="15" t="s">
        <v>623</v>
      </c>
      <c r="F118" s="15" t="s">
        <v>54</v>
      </c>
      <c r="G118" s="16" t="s">
        <v>728</v>
      </c>
      <c r="H118" s="16" t="s">
        <v>941</v>
      </c>
      <c r="I118" s="36" t="s">
        <v>497</v>
      </c>
      <c r="J118" s="36" t="s">
        <v>1241</v>
      </c>
      <c r="K118" s="16" t="s">
        <v>277</v>
      </c>
      <c r="L118" s="17" t="s">
        <v>852</v>
      </c>
      <c r="M118" s="48" t="s">
        <v>639</v>
      </c>
      <c r="N118" s="48" t="s">
        <v>639</v>
      </c>
      <c r="O118" s="18" t="s">
        <v>886</v>
      </c>
      <c r="P118" s="18" t="s">
        <v>997</v>
      </c>
      <c r="Q118" s="18" t="s">
        <v>888</v>
      </c>
      <c r="R118" s="40">
        <v>45923</v>
      </c>
      <c r="S118" s="19"/>
    </row>
    <row r="119" spans="1:19" ht="43.2" x14ac:dyDescent="0.3">
      <c r="A119" s="14">
        <v>117</v>
      </c>
      <c r="B119" s="15" t="s">
        <v>278</v>
      </c>
      <c r="C119" s="15" t="s">
        <v>885</v>
      </c>
      <c r="D119" s="15" t="s">
        <v>35</v>
      </c>
      <c r="E119" s="15" t="s">
        <v>494</v>
      </c>
      <c r="F119" s="15" t="s">
        <v>47</v>
      </c>
      <c r="G119" s="16" t="s">
        <v>729</v>
      </c>
      <c r="H119" s="16" t="s">
        <v>941</v>
      </c>
      <c r="I119" s="36" t="s">
        <v>528</v>
      </c>
      <c r="J119" s="36" t="s">
        <v>1244</v>
      </c>
      <c r="K119" s="16" t="s">
        <v>279</v>
      </c>
      <c r="L119" s="17" t="s">
        <v>852</v>
      </c>
      <c r="M119" s="48" t="s">
        <v>639</v>
      </c>
      <c r="N119" s="48" t="s">
        <v>639</v>
      </c>
      <c r="O119" s="18" t="s">
        <v>886</v>
      </c>
      <c r="P119" s="18" t="s">
        <v>998</v>
      </c>
      <c r="Q119" s="18" t="s">
        <v>888</v>
      </c>
      <c r="R119" s="40">
        <v>45923</v>
      </c>
      <c r="S119" s="19"/>
    </row>
    <row r="120" spans="1:19" ht="43.2" x14ac:dyDescent="0.3">
      <c r="A120" s="14">
        <v>118</v>
      </c>
      <c r="B120" s="15" t="s">
        <v>280</v>
      </c>
      <c r="C120" s="15" t="s">
        <v>885</v>
      </c>
      <c r="D120" s="15" t="s">
        <v>18</v>
      </c>
      <c r="E120" s="15" t="s">
        <v>650</v>
      </c>
      <c r="F120" s="15" t="s">
        <v>27</v>
      </c>
      <c r="G120" s="16" t="s">
        <v>730</v>
      </c>
      <c r="H120" s="16" t="s">
        <v>941</v>
      </c>
      <c r="I120" s="36" t="s">
        <v>569</v>
      </c>
      <c r="J120" s="36" t="s">
        <v>1245</v>
      </c>
      <c r="K120" s="16" t="s">
        <v>281</v>
      </c>
      <c r="L120" s="17" t="s">
        <v>852</v>
      </c>
      <c r="M120" s="48" t="s">
        <v>639</v>
      </c>
      <c r="N120" s="48" t="s">
        <v>639</v>
      </c>
      <c r="O120" s="18" t="s">
        <v>886</v>
      </c>
      <c r="P120" s="18" t="s">
        <v>999</v>
      </c>
      <c r="Q120" s="18" t="s">
        <v>888</v>
      </c>
      <c r="R120" s="40">
        <v>45923</v>
      </c>
      <c r="S120" s="19"/>
    </row>
    <row r="121" spans="1:19" ht="43.2" x14ac:dyDescent="0.3">
      <c r="A121" s="14">
        <v>119</v>
      </c>
      <c r="B121" s="15" t="s">
        <v>282</v>
      </c>
      <c r="C121" s="15" t="s">
        <v>885</v>
      </c>
      <c r="D121" s="15" t="s">
        <v>18</v>
      </c>
      <c r="E121" s="15" t="s">
        <v>623</v>
      </c>
      <c r="F121" s="15" t="s">
        <v>27</v>
      </c>
      <c r="G121" s="16" t="s">
        <v>730</v>
      </c>
      <c r="H121" s="16" t="s">
        <v>941</v>
      </c>
      <c r="I121" s="36" t="s">
        <v>570</v>
      </c>
      <c r="J121" s="36" t="s">
        <v>1245</v>
      </c>
      <c r="K121" s="16" t="s">
        <v>283</v>
      </c>
      <c r="L121" s="17" t="s">
        <v>852</v>
      </c>
      <c r="M121" s="48" t="s">
        <v>639</v>
      </c>
      <c r="N121" s="48" t="s">
        <v>639</v>
      </c>
      <c r="O121" s="18" t="s">
        <v>886</v>
      </c>
      <c r="P121" s="18" t="s">
        <v>1000</v>
      </c>
      <c r="Q121" s="18" t="s">
        <v>888</v>
      </c>
      <c r="R121" s="40">
        <v>45923</v>
      </c>
      <c r="S121" s="19"/>
    </row>
    <row r="122" spans="1:19" ht="28.8" x14ac:dyDescent="0.3">
      <c r="A122" s="14">
        <v>120</v>
      </c>
      <c r="B122" s="15" t="s">
        <v>284</v>
      </c>
      <c r="C122" s="15" t="s">
        <v>885</v>
      </c>
      <c r="D122" s="15" t="s">
        <v>18</v>
      </c>
      <c r="E122" s="15" t="s">
        <v>659</v>
      </c>
      <c r="F122" s="15" t="s">
        <v>27</v>
      </c>
      <c r="G122" s="16" t="s">
        <v>731</v>
      </c>
      <c r="H122" s="16" t="s">
        <v>941</v>
      </c>
      <c r="I122" s="36" t="s">
        <v>571</v>
      </c>
      <c r="J122" s="36" t="s">
        <v>1245</v>
      </c>
      <c r="K122" s="16" t="s">
        <v>285</v>
      </c>
      <c r="L122" s="17" t="s">
        <v>852</v>
      </c>
      <c r="M122" s="48" t="s">
        <v>639</v>
      </c>
      <c r="N122" s="48" t="s">
        <v>639</v>
      </c>
      <c r="O122" s="18" t="s">
        <v>886</v>
      </c>
      <c r="P122" s="18" t="s">
        <v>1001</v>
      </c>
      <c r="Q122" s="18" t="s">
        <v>888</v>
      </c>
      <c r="R122" s="40">
        <v>45923</v>
      </c>
      <c r="S122" s="19"/>
    </row>
    <row r="123" spans="1:19" ht="28.8" x14ac:dyDescent="0.3">
      <c r="A123" s="14">
        <v>121</v>
      </c>
      <c r="B123" s="15" t="s">
        <v>286</v>
      </c>
      <c r="C123" s="15" t="s">
        <v>885</v>
      </c>
      <c r="D123" s="15" t="s">
        <v>18</v>
      </c>
      <c r="E123" s="15" t="s">
        <v>620</v>
      </c>
      <c r="F123" s="15" t="s">
        <v>54</v>
      </c>
      <c r="G123" s="16" t="s">
        <v>732</v>
      </c>
      <c r="H123" s="16" t="s">
        <v>941</v>
      </c>
      <c r="I123" s="36" t="s">
        <v>572</v>
      </c>
      <c r="J123" s="36" t="s">
        <v>1246</v>
      </c>
      <c r="K123" s="16" t="s">
        <v>287</v>
      </c>
      <c r="L123" s="17" t="s">
        <v>852</v>
      </c>
      <c r="M123" s="48" t="s">
        <v>639</v>
      </c>
      <c r="N123" s="48" t="s">
        <v>639</v>
      </c>
      <c r="O123" s="18" t="s">
        <v>886</v>
      </c>
      <c r="P123" s="18" t="s">
        <v>1002</v>
      </c>
      <c r="Q123" s="18" t="s">
        <v>888</v>
      </c>
      <c r="R123" s="40">
        <v>45923</v>
      </c>
      <c r="S123" s="19"/>
    </row>
    <row r="124" spans="1:19" ht="28.8" x14ac:dyDescent="0.3">
      <c r="A124" s="14">
        <v>122</v>
      </c>
      <c r="B124" s="15" t="s">
        <v>288</v>
      </c>
      <c r="C124" s="15" t="s">
        <v>885</v>
      </c>
      <c r="D124" s="15" t="s">
        <v>35</v>
      </c>
      <c r="E124" s="15" t="s">
        <v>678</v>
      </c>
      <c r="F124" s="15" t="s">
        <v>27</v>
      </c>
      <c r="G124" s="16" t="s">
        <v>733</v>
      </c>
      <c r="H124" s="45">
        <v>44984</v>
      </c>
      <c r="I124" s="36" t="s">
        <v>573</v>
      </c>
      <c r="J124" s="36" t="s">
        <v>1248</v>
      </c>
      <c r="K124" s="16" t="s">
        <v>289</v>
      </c>
      <c r="L124" s="17" t="s">
        <v>1097</v>
      </c>
      <c r="M124" s="17" t="s">
        <v>1141</v>
      </c>
      <c r="N124" s="17" t="s">
        <v>1226</v>
      </c>
      <c r="O124" s="18" t="s">
        <v>1152</v>
      </c>
      <c r="P124" s="43" t="s">
        <v>1158</v>
      </c>
      <c r="Q124" s="18" t="s">
        <v>868</v>
      </c>
      <c r="R124" s="40">
        <v>45919</v>
      </c>
      <c r="S124" s="19"/>
    </row>
    <row r="125" spans="1:19" ht="28.8" x14ac:dyDescent="0.3">
      <c r="A125" s="14">
        <v>123</v>
      </c>
      <c r="B125" s="15" t="s">
        <v>290</v>
      </c>
      <c r="C125" s="15" t="s">
        <v>885</v>
      </c>
      <c r="D125" s="15" t="s">
        <v>18</v>
      </c>
      <c r="E125" s="15" t="s">
        <v>494</v>
      </c>
      <c r="F125" s="15" t="s">
        <v>27</v>
      </c>
      <c r="G125" s="16" t="s">
        <v>653</v>
      </c>
      <c r="H125" s="16" t="s">
        <v>941</v>
      </c>
      <c r="I125" s="36" t="s">
        <v>574</v>
      </c>
      <c r="J125" s="36" t="s">
        <v>1244</v>
      </c>
      <c r="K125" s="16" t="s">
        <v>291</v>
      </c>
      <c r="L125" s="17" t="s">
        <v>852</v>
      </c>
      <c r="M125" s="48" t="s">
        <v>639</v>
      </c>
      <c r="N125" s="48" t="s">
        <v>639</v>
      </c>
      <c r="O125" s="18" t="s">
        <v>886</v>
      </c>
      <c r="P125" s="18" t="s">
        <v>1003</v>
      </c>
      <c r="Q125" s="18" t="s">
        <v>888</v>
      </c>
      <c r="R125" s="40">
        <v>45923</v>
      </c>
      <c r="S125" s="19"/>
    </row>
    <row r="126" spans="1:19" ht="57.6" x14ac:dyDescent="0.3">
      <c r="A126" s="14">
        <v>124</v>
      </c>
      <c r="B126" s="15" t="s">
        <v>292</v>
      </c>
      <c r="C126" s="15" t="s">
        <v>885</v>
      </c>
      <c r="D126" s="15" t="s">
        <v>18</v>
      </c>
      <c r="E126" s="15" t="s">
        <v>494</v>
      </c>
      <c r="F126" s="15" t="s">
        <v>139</v>
      </c>
      <c r="G126" s="16" t="s">
        <v>665</v>
      </c>
      <c r="H126" s="16" t="s">
        <v>941</v>
      </c>
      <c r="I126" s="36" t="s">
        <v>575</v>
      </c>
      <c r="J126" s="36" t="s">
        <v>1242</v>
      </c>
      <c r="K126" s="16" t="s">
        <v>293</v>
      </c>
      <c r="L126" s="17" t="s">
        <v>852</v>
      </c>
      <c r="M126" s="48" t="s">
        <v>639</v>
      </c>
      <c r="N126" s="48" t="s">
        <v>639</v>
      </c>
      <c r="O126" s="18" t="s">
        <v>886</v>
      </c>
      <c r="P126" s="18" t="s">
        <v>1004</v>
      </c>
      <c r="Q126" s="18" t="s">
        <v>888</v>
      </c>
      <c r="R126" s="40">
        <v>45923</v>
      </c>
      <c r="S126" s="19"/>
    </row>
    <row r="127" spans="1:19" ht="57.6" x14ac:dyDescent="0.3">
      <c r="A127" s="14">
        <v>125</v>
      </c>
      <c r="B127" s="15" t="s">
        <v>294</v>
      </c>
      <c r="C127" s="15" t="s">
        <v>885</v>
      </c>
      <c r="D127" s="15" t="s">
        <v>28</v>
      </c>
      <c r="E127" s="15" t="s">
        <v>735</v>
      </c>
      <c r="F127" s="15" t="s">
        <v>75</v>
      </c>
      <c r="G127" s="16" t="s">
        <v>734</v>
      </c>
      <c r="H127" s="16" t="s">
        <v>941</v>
      </c>
      <c r="I127" s="36" t="s">
        <v>576</v>
      </c>
      <c r="J127" s="36" t="s">
        <v>1242</v>
      </c>
      <c r="K127" s="16" t="s">
        <v>295</v>
      </c>
      <c r="L127" s="17" t="s">
        <v>852</v>
      </c>
      <c r="M127" s="48" t="s">
        <v>639</v>
      </c>
      <c r="N127" s="48" t="s">
        <v>639</v>
      </c>
      <c r="O127" s="18" t="s">
        <v>886</v>
      </c>
      <c r="P127" s="18" t="s">
        <v>1005</v>
      </c>
      <c r="Q127" s="18" t="s">
        <v>868</v>
      </c>
      <c r="R127" s="40">
        <v>45923</v>
      </c>
      <c r="S127" s="19"/>
    </row>
    <row r="128" spans="1:19" ht="28.8" x14ac:dyDescent="0.3">
      <c r="A128" s="14">
        <v>126</v>
      </c>
      <c r="B128" s="15" t="s">
        <v>296</v>
      </c>
      <c r="C128" s="15" t="s">
        <v>885</v>
      </c>
      <c r="D128" s="15" t="s">
        <v>18</v>
      </c>
      <c r="E128" s="15" t="s">
        <v>639</v>
      </c>
      <c r="F128" s="15" t="s">
        <v>27</v>
      </c>
      <c r="G128" s="16" t="s">
        <v>736</v>
      </c>
      <c r="H128" s="16" t="s">
        <v>941</v>
      </c>
      <c r="I128" s="36" t="s">
        <v>577</v>
      </c>
      <c r="J128" s="36" t="s">
        <v>1248</v>
      </c>
      <c r="K128" s="16" t="s">
        <v>297</v>
      </c>
      <c r="L128" s="17" t="s">
        <v>852</v>
      </c>
      <c r="M128" s="48" t="s">
        <v>639</v>
      </c>
      <c r="N128" s="48" t="s">
        <v>639</v>
      </c>
      <c r="O128" s="18" t="s">
        <v>886</v>
      </c>
      <c r="P128" s="18" t="s">
        <v>1006</v>
      </c>
      <c r="Q128" s="18" t="s">
        <v>888</v>
      </c>
      <c r="R128" s="40">
        <v>45923</v>
      </c>
      <c r="S128" s="19"/>
    </row>
    <row r="129" spans="1:19" x14ac:dyDescent="0.3">
      <c r="A129" s="14">
        <v>127</v>
      </c>
      <c r="B129" s="15" t="s">
        <v>298</v>
      </c>
      <c r="C129" s="15" t="s">
        <v>885</v>
      </c>
      <c r="D129" s="15" t="s">
        <v>18</v>
      </c>
      <c r="E129" s="15" t="s">
        <v>691</v>
      </c>
      <c r="F129" s="15" t="s">
        <v>27</v>
      </c>
      <c r="G129" s="16" t="s">
        <v>625</v>
      </c>
      <c r="H129" s="16" t="s">
        <v>941</v>
      </c>
      <c r="I129" s="36" t="s">
        <v>578</v>
      </c>
      <c r="J129" s="36" t="s">
        <v>1241</v>
      </c>
      <c r="K129" s="16" t="s">
        <v>299</v>
      </c>
      <c r="L129" s="17" t="s">
        <v>852</v>
      </c>
      <c r="M129" s="48" t="s">
        <v>639</v>
      </c>
      <c r="N129" s="48" t="s">
        <v>639</v>
      </c>
      <c r="O129" s="18" t="s">
        <v>886</v>
      </c>
      <c r="P129" s="18" t="s">
        <v>1007</v>
      </c>
      <c r="Q129" s="18" t="s">
        <v>888</v>
      </c>
      <c r="R129" s="40">
        <v>45923</v>
      </c>
      <c r="S129" s="19"/>
    </row>
    <row r="130" spans="1:19" ht="43.2" x14ac:dyDescent="0.3">
      <c r="A130" s="14">
        <v>128</v>
      </c>
      <c r="B130" s="15" t="s">
        <v>300</v>
      </c>
      <c r="C130" s="15" t="s">
        <v>885</v>
      </c>
      <c r="D130" s="15" t="s">
        <v>18</v>
      </c>
      <c r="E130" s="15" t="s">
        <v>494</v>
      </c>
      <c r="F130" s="15" t="s">
        <v>214</v>
      </c>
      <c r="G130" s="16" t="s">
        <v>700</v>
      </c>
      <c r="H130" s="16" t="s">
        <v>941</v>
      </c>
      <c r="I130" s="36" t="s">
        <v>579</v>
      </c>
      <c r="J130" s="36" t="s">
        <v>1249</v>
      </c>
      <c r="K130" s="16" t="s">
        <v>301</v>
      </c>
      <c r="L130" s="17" t="s">
        <v>852</v>
      </c>
      <c r="M130" s="48" t="s">
        <v>639</v>
      </c>
      <c r="N130" s="48" t="s">
        <v>639</v>
      </c>
      <c r="O130" s="18" t="s">
        <v>886</v>
      </c>
      <c r="P130" s="18" t="s">
        <v>1008</v>
      </c>
      <c r="Q130" s="18" t="s">
        <v>888</v>
      </c>
      <c r="R130" s="40">
        <v>45923</v>
      </c>
      <c r="S130" s="19"/>
    </row>
    <row r="131" spans="1:19" ht="43.2" x14ac:dyDescent="0.3">
      <c r="A131" s="14">
        <v>129</v>
      </c>
      <c r="B131" s="15" t="s">
        <v>302</v>
      </c>
      <c r="C131" s="15" t="s">
        <v>885</v>
      </c>
      <c r="D131" s="15" t="s">
        <v>18</v>
      </c>
      <c r="E131" s="15" t="s">
        <v>494</v>
      </c>
      <c r="F131" s="15" t="s">
        <v>181</v>
      </c>
      <c r="G131" s="16" t="s">
        <v>737</v>
      </c>
      <c r="H131" s="16" t="s">
        <v>941</v>
      </c>
      <c r="I131" s="36" t="s">
        <v>525</v>
      </c>
      <c r="J131" s="36" t="s">
        <v>619</v>
      </c>
      <c r="K131" s="16" t="s">
        <v>303</v>
      </c>
      <c r="L131" s="17" t="s">
        <v>852</v>
      </c>
      <c r="M131" s="48" t="s">
        <v>639</v>
      </c>
      <c r="N131" s="48" t="s">
        <v>639</v>
      </c>
      <c r="O131" s="18" t="s">
        <v>886</v>
      </c>
      <c r="P131" s="18" t="s">
        <v>1009</v>
      </c>
      <c r="Q131" s="18" t="s">
        <v>888</v>
      </c>
      <c r="R131" s="40">
        <v>45923</v>
      </c>
      <c r="S131" s="19"/>
    </row>
    <row r="132" spans="1:19" x14ac:dyDescent="0.3">
      <c r="A132" s="14">
        <v>130</v>
      </c>
      <c r="B132" s="15" t="s">
        <v>304</v>
      </c>
      <c r="C132" s="15" t="s">
        <v>885</v>
      </c>
      <c r="D132" s="15" t="s">
        <v>18</v>
      </c>
      <c r="E132" s="15" t="s">
        <v>494</v>
      </c>
      <c r="F132" s="15" t="s">
        <v>27</v>
      </c>
      <c r="G132" s="16" t="s">
        <v>738</v>
      </c>
      <c r="H132" s="16" t="s">
        <v>941</v>
      </c>
      <c r="I132" s="36" t="s">
        <v>497</v>
      </c>
      <c r="J132" s="36" t="s">
        <v>619</v>
      </c>
      <c r="K132" s="16" t="s">
        <v>305</v>
      </c>
      <c r="L132" s="17" t="s">
        <v>852</v>
      </c>
      <c r="M132" s="48" t="s">
        <v>639</v>
      </c>
      <c r="N132" s="48" t="s">
        <v>639</v>
      </c>
      <c r="O132" s="18" t="s">
        <v>886</v>
      </c>
      <c r="P132" s="18" t="s">
        <v>1010</v>
      </c>
      <c r="Q132" s="18" t="s">
        <v>888</v>
      </c>
      <c r="R132" s="40">
        <v>45923</v>
      </c>
      <c r="S132" s="19"/>
    </row>
    <row r="133" spans="1:19" ht="43.2" x14ac:dyDescent="0.3">
      <c r="A133" s="14">
        <v>131</v>
      </c>
      <c r="B133" s="15" t="s">
        <v>306</v>
      </c>
      <c r="C133" s="15" t="s">
        <v>885</v>
      </c>
      <c r="D133" s="15" t="s">
        <v>18</v>
      </c>
      <c r="E133" s="15" t="s">
        <v>494</v>
      </c>
      <c r="F133" s="15" t="s">
        <v>27</v>
      </c>
      <c r="G133" s="16" t="s">
        <v>492</v>
      </c>
      <c r="H133" s="16" t="s">
        <v>941</v>
      </c>
      <c r="I133" s="36" t="s">
        <v>504</v>
      </c>
      <c r="J133" s="36" t="s">
        <v>1246</v>
      </c>
      <c r="K133" s="16" t="s">
        <v>307</v>
      </c>
      <c r="L133" s="17" t="s">
        <v>852</v>
      </c>
      <c r="M133" s="48" t="s">
        <v>639</v>
      </c>
      <c r="N133" s="48" t="s">
        <v>639</v>
      </c>
      <c r="O133" s="18" t="s">
        <v>886</v>
      </c>
      <c r="P133" s="18" t="s">
        <v>1011</v>
      </c>
      <c r="Q133" s="18" t="s">
        <v>888</v>
      </c>
      <c r="R133" s="40">
        <v>45923</v>
      </c>
      <c r="S133" s="19"/>
    </row>
    <row r="134" spans="1:19" ht="43.2" x14ac:dyDescent="0.3">
      <c r="A134" s="14">
        <v>132</v>
      </c>
      <c r="B134" s="15" t="s">
        <v>308</v>
      </c>
      <c r="C134" s="15" t="s">
        <v>885</v>
      </c>
      <c r="D134" s="15" t="s">
        <v>35</v>
      </c>
      <c r="E134" s="15" t="s">
        <v>717</v>
      </c>
      <c r="F134" s="15" t="s">
        <v>254</v>
      </c>
      <c r="G134" s="16" t="s">
        <v>308</v>
      </c>
      <c r="H134" s="45">
        <v>45634</v>
      </c>
      <c r="I134" s="36" t="s">
        <v>580</v>
      </c>
      <c r="J134" s="36" t="s">
        <v>1243</v>
      </c>
      <c r="K134" s="16" t="s">
        <v>309</v>
      </c>
      <c r="L134" s="17" t="s">
        <v>1097</v>
      </c>
      <c r="M134" s="17" t="s">
        <v>1144</v>
      </c>
      <c r="N134" s="17" t="s">
        <v>1226</v>
      </c>
      <c r="O134" s="18" t="s">
        <v>1152</v>
      </c>
      <c r="P134" s="43" t="s">
        <v>1012</v>
      </c>
      <c r="Q134" s="18" t="s">
        <v>888</v>
      </c>
      <c r="R134" s="40">
        <v>45923</v>
      </c>
      <c r="S134" s="19"/>
    </row>
    <row r="135" spans="1:19" ht="43.2" x14ac:dyDescent="0.3">
      <c r="A135" s="14">
        <v>133</v>
      </c>
      <c r="B135" s="15" t="s">
        <v>310</v>
      </c>
      <c r="C135" s="15" t="s">
        <v>885</v>
      </c>
      <c r="D135" s="15" t="s">
        <v>18</v>
      </c>
      <c r="E135" s="15" t="s">
        <v>619</v>
      </c>
      <c r="F135" s="15" t="s">
        <v>27</v>
      </c>
      <c r="G135" s="16" t="s">
        <v>739</v>
      </c>
      <c r="H135" s="16" t="s">
        <v>941</v>
      </c>
      <c r="I135" s="36" t="s">
        <v>497</v>
      </c>
      <c r="J135" s="36" t="s">
        <v>1241</v>
      </c>
      <c r="K135" s="16" t="s">
        <v>311</v>
      </c>
      <c r="L135" s="17" t="s">
        <v>852</v>
      </c>
      <c r="M135" s="48" t="s">
        <v>639</v>
      </c>
      <c r="N135" s="48" t="s">
        <v>639</v>
      </c>
      <c r="O135" s="18" t="s">
        <v>886</v>
      </c>
      <c r="P135" s="18" t="s">
        <v>1013</v>
      </c>
      <c r="Q135" s="18" t="s">
        <v>888</v>
      </c>
      <c r="R135" s="40">
        <v>45923</v>
      </c>
      <c r="S135" s="19"/>
    </row>
    <row r="136" spans="1:19" ht="28.8" x14ac:dyDescent="0.3">
      <c r="A136" s="14">
        <v>134</v>
      </c>
      <c r="B136" s="15" t="s">
        <v>312</v>
      </c>
      <c r="C136" s="15" t="s">
        <v>885</v>
      </c>
      <c r="D136" s="15" t="s">
        <v>35</v>
      </c>
      <c r="E136" s="15" t="s">
        <v>686</v>
      </c>
      <c r="F136" s="15" t="s">
        <v>27</v>
      </c>
      <c r="G136" s="16" t="s">
        <v>740</v>
      </c>
      <c r="H136" s="16" t="s">
        <v>941</v>
      </c>
      <c r="I136" s="36" t="s">
        <v>544</v>
      </c>
      <c r="J136" s="36" t="s">
        <v>619</v>
      </c>
      <c r="K136" s="16" t="s">
        <v>313</v>
      </c>
      <c r="L136" s="17" t="s">
        <v>852</v>
      </c>
      <c r="M136" s="48" t="s">
        <v>639</v>
      </c>
      <c r="N136" s="48" t="s">
        <v>639</v>
      </c>
      <c r="O136" s="18" t="s">
        <v>886</v>
      </c>
      <c r="P136" s="18" t="s">
        <v>1014</v>
      </c>
      <c r="Q136" s="18" t="s">
        <v>888</v>
      </c>
      <c r="R136" s="40">
        <v>45923</v>
      </c>
      <c r="S136" s="19"/>
    </row>
    <row r="137" spans="1:19" ht="28.8" x14ac:dyDescent="0.3">
      <c r="A137" s="14">
        <v>135</v>
      </c>
      <c r="B137" s="15" t="s">
        <v>314</v>
      </c>
      <c r="C137" s="15" t="s">
        <v>885</v>
      </c>
      <c r="D137" s="15" t="s">
        <v>35</v>
      </c>
      <c r="E137" s="15" t="s">
        <v>717</v>
      </c>
      <c r="F137" s="15" t="s">
        <v>17</v>
      </c>
      <c r="G137" s="16" t="s">
        <v>741</v>
      </c>
      <c r="H137" s="16" t="s">
        <v>941</v>
      </c>
      <c r="I137" s="36" t="s">
        <v>581</v>
      </c>
      <c r="J137" s="36" t="s">
        <v>1244</v>
      </c>
      <c r="K137" s="16" t="s">
        <v>315</v>
      </c>
      <c r="L137" s="17" t="s">
        <v>852</v>
      </c>
      <c r="M137" s="48" t="s">
        <v>639</v>
      </c>
      <c r="N137" s="48" t="s">
        <v>639</v>
      </c>
      <c r="O137" s="18" t="s">
        <v>886</v>
      </c>
      <c r="P137" s="18" t="s">
        <v>1015</v>
      </c>
      <c r="Q137" s="18" t="s">
        <v>888</v>
      </c>
      <c r="R137" s="40">
        <v>45923</v>
      </c>
      <c r="S137" s="19"/>
    </row>
    <row r="138" spans="1:19" ht="28.8" x14ac:dyDescent="0.3">
      <c r="A138" s="14">
        <v>136</v>
      </c>
      <c r="B138" s="15" t="s">
        <v>316</v>
      </c>
      <c r="C138" s="15" t="s">
        <v>885</v>
      </c>
      <c r="D138" s="15" t="s">
        <v>18</v>
      </c>
      <c r="E138" s="15" t="s">
        <v>743</v>
      </c>
      <c r="F138" s="15" t="s">
        <v>254</v>
      </c>
      <c r="G138" s="16" t="s">
        <v>742</v>
      </c>
      <c r="H138" s="45">
        <v>45187</v>
      </c>
      <c r="I138" s="36" t="s">
        <v>567</v>
      </c>
      <c r="J138" s="36" t="s">
        <v>619</v>
      </c>
      <c r="K138" s="16" t="s">
        <v>317</v>
      </c>
      <c r="L138" s="17" t="s">
        <v>1097</v>
      </c>
      <c r="M138" s="17" t="s">
        <v>1142</v>
      </c>
      <c r="N138" s="17" t="s">
        <v>1226</v>
      </c>
      <c r="O138" s="18" t="s">
        <v>1152</v>
      </c>
      <c r="P138" s="43" t="s">
        <v>1016</v>
      </c>
      <c r="Q138" s="18" t="s">
        <v>888</v>
      </c>
      <c r="R138" s="40">
        <v>45923</v>
      </c>
      <c r="S138" s="19"/>
    </row>
    <row r="139" spans="1:19" ht="43.2" x14ac:dyDescent="0.3">
      <c r="A139" s="14">
        <v>137</v>
      </c>
      <c r="B139" s="15" t="s">
        <v>318</v>
      </c>
      <c r="C139" s="15" t="s">
        <v>885</v>
      </c>
      <c r="D139" s="15" t="s">
        <v>18</v>
      </c>
      <c r="E139" s="15" t="s">
        <v>659</v>
      </c>
      <c r="F139" s="15" t="s">
        <v>24</v>
      </c>
      <c r="G139" s="16" t="s">
        <v>744</v>
      </c>
      <c r="H139" s="16" t="s">
        <v>941</v>
      </c>
      <c r="I139" s="36" t="s">
        <v>531</v>
      </c>
      <c r="J139" s="36" t="s">
        <v>1241</v>
      </c>
      <c r="K139" s="16" t="s">
        <v>319</v>
      </c>
      <c r="L139" s="17" t="s">
        <v>852</v>
      </c>
      <c r="M139" s="48" t="s">
        <v>639</v>
      </c>
      <c r="N139" s="48" t="s">
        <v>639</v>
      </c>
      <c r="O139" s="18" t="s">
        <v>886</v>
      </c>
      <c r="P139" s="18" t="s">
        <v>1017</v>
      </c>
      <c r="Q139" s="18" t="s">
        <v>888</v>
      </c>
      <c r="R139" s="40">
        <v>45923</v>
      </c>
      <c r="S139" s="19"/>
    </row>
    <row r="140" spans="1:19" ht="43.2" x14ac:dyDescent="0.3">
      <c r="A140" s="14">
        <v>138</v>
      </c>
      <c r="B140" s="15" t="s">
        <v>320</v>
      </c>
      <c r="C140" s="15" t="s">
        <v>885</v>
      </c>
      <c r="D140" s="15" t="s">
        <v>18</v>
      </c>
      <c r="E140" s="15" t="s">
        <v>494</v>
      </c>
      <c r="F140" s="15" t="s">
        <v>78</v>
      </c>
      <c r="G140" s="16" t="s">
        <v>745</v>
      </c>
      <c r="H140" s="16" t="s">
        <v>941</v>
      </c>
      <c r="I140" s="36" t="s">
        <v>497</v>
      </c>
      <c r="J140" s="36" t="s">
        <v>1241</v>
      </c>
      <c r="K140" s="16" t="s">
        <v>321</v>
      </c>
      <c r="L140" s="17" t="s">
        <v>852</v>
      </c>
      <c r="M140" s="48" t="s">
        <v>639</v>
      </c>
      <c r="N140" s="48" t="s">
        <v>639</v>
      </c>
      <c r="O140" s="18" t="s">
        <v>886</v>
      </c>
      <c r="P140" s="18" t="s">
        <v>1018</v>
      </c>
      <c r="Q140" s="18" t="s">
        <v>868</v>
      </c>
      <c r="R140" s="40">
        <v>45923</v>
      </c>
      <c r="S140" s="19"/>
    </row>
    <row r="141" spans="1:19" ht="43.2" x14ac:dyDescent="0.3">
      <c r="A141" s="14">
        <v>139</v>
      </c>
      <c r="B141" s="15" t="s">
        <v>322</v>
      </c>
      <c r="C141" s="15" t="s">
        <v>885</v>
      </c>
      <c r="D141" s="15" t="s">
        <v>18</v>
      </c>
      <c r="E141" s="15" t="s">
        <v>494</v>
      </c>
      <c r="F141" s="15" t="s">
        <v>75</v>
      </c>
      <c r="G141" s="16" t="s">
        <v>746</v>
      </c>
      <c r="H141" s="16" t="s">
        <v>941</v>
      </c>
      <c r="I141" s="36" t="s">
        <v>532</v>
      </c>
      <c r="J141" s="36" t="s">
        <v>1246</v>
      </c>
      <c r="K141" s="16" t="s">
        <v>323</v>
      </c>
      <c r="L141" s="17" t="s">
        <v>852</v>
      </c>
      <c r="M141" s="48" t="s">
        <v>639</v>
      </c>
      <c r="N141" s="48" t="s">
        <v>639</v>
      </c>
      <c r="O141" s="18" t="s">
        <v>886</v>
      </c>
      <c r="P141" s="18" t="s">
        <v>1019</v>
      </c>
      <c r="Q141" s="18" t="s">
        <v>888</v>
      </c>
      <c r="R141" s="40">
        <v>45923</v>
      </c>
      <c r="S141" s="19"/>
    </row>
    <row r="142" spans="1:19" ht="43.2" x14ac:dyDescent="0.3">
      <c r="A142" s="14">
        <v>140</v>
      </c>
      <c r="B142" s="15" t="s">
        <v>324</v>
      </c>
      <c r="C142" s="15" t="s">
        <v>885</v>
      </c>
      <c r="D142" s="15" t="s">
        <v>18</v>
      </c>
      <c r="E142" s="15" t="s">
        <v>494</v>
      </c>
      <c r="F142" s="15" t="s">
        <v>27</v>
      </c>
      <c r="G142" s="16" t="s">
        <v>747</v>
      </c>
      <c r="H142" s="16" t="s">
        <v>941</v>
      </c>
      <c r="I142" s="36" t="s">
        <v>497</v>
      </c>
      <c r="J142" s="36" t="s">
        <v>1241</v>
      </c>
      <c r="K142" s="16" t="s">
        <v>325</v>
      </c>
      <c r="L142" s="17" t="s">
        <v>852</v>
      </c>
      <c r="M142" s="48" t="s">
        <v>639</v>
      </c>
      <c r="N142" s="48" t="s">
        <v>639</v>
      </c>
      <c r="O142" s="18" t="s">
        <v>886</v>
      </c>
      <c r="P142" s="18" t="s">
        <v>1020</v>
      </c>
      <c r="Q142" s="18" t="s">
        <v>888</v>
      </c>
      <c r="R142" s="40">
        <v>45923</v>
      </c>
      <c r="S142" s="19"/>
    </row>
    <row r="143" spans="1:19" x14ac:dyDescent="0.3">
      <c r="A143" s="14">
        <v>141</v>
      </c>
      <c r="B143" s="15" t="s">
        <v>326</v>
      </c>
      <c r="C143" s="15" t="s">
        <v>885</v>
      </c>
      <c r="D143" s="15" t="s">
        <v>18</v>
      </c>
      <c r="E143" s="15" t="s">
        <v>494</v>
      </c>
      <c r="F143" s="15" t="s">
        <v>327</v>
      </c>
      <c r="G143" s="16" t="s">
        <v>748</v>
      </c>
      <c r="H143" s="16" t="s">
        <v>941</v>
      </c>
      <c r="I143" s="36" t="s">
        <v>581</v>
      </c>
      <c r="J143" s="36" t="s">
        <v>619</v>
      </c>
      <c r="K143" s="16" t="s">
        <v>328</v>
      </c>
      <c r="L143" s="17" t="s">
        <v>852</v>
      </c>
      <c r="M143" s="48" t="s">
        <v>639</v>
      </c>
      <c r="N143" s="48" t="s">
        <v>639</v>
      </c>
      <c r="O143" s="18" t="s">
        <v>886</v>
      </c>
      <c r="P143" s="18" t="s">
        <v>1021</v>
      </c>
      <c r="Q143" s="18" t="s">
        <v>888</v>
      </c>
      <c r="R143" s="40">
        <v>45923</v>
      </c>
      <c r="S143" s="19"/>
    </row>
    <row r="144" spans="1:19" ht="28.8" x14ac:dyDescent="0.3">
      <c r="A144" s="14">
        <v>142</v>
      </c>
      <c r="B144" s="15" t="s">
        <v>329</v>
      </c>
      <c r="C144" s="15" t="s">
        <v>885</v>
      </c>
      <c r="D144" s="15" t="s">
        <v>18</v>
      </c>
      <c r="E144" s="15" t="s">
        <v>494</v>
      </c>
      <c r="F144" s="15" t="s">
        <v>75</v>
      </c>
      <c r="G144" s="16" t="s">
        <v>749</v>
      </c>
      <c r="H144" s="16" t="s">
        <v>941</v>
      </c>
      <c r="I144" s="36" t="s">
        <v>497</v>
      </c>
      <c r="J144" s="36" t="s">
        <v>1241</v>
      </c>
      <c r="K144" s="16" t="s">
        <v>330</v>
      </c>
      <c r="L144" s="17" t="s">
        <v>852</v>
      </c>
      <c r="M144" s="48" t="s">
        <v>639</v>
      </c>
      <c r="N144" s="48" t="s">
        <v>639</v>
      </c>
      <c r="O144" s="18" t="s">
        <v>886</v>
      </c>
      <c r="P144" s="18" t="s">
        <v>1022</v>
      </c>
      <c r="Q144" s="18" t="s">
        <v>888</v>
      </c>
      <c r="R144" s="40">
        <v>45923</v>
      </c>
      <c r="S144" s="19"/>
    </row>
    <row r="145" spans="1:19" ht="43.2" x14ac:dyDescent="0.3">
      <c r="A145" s="14">
        <v>143</v>
      </c>
      <c r="B145" s="15" t="s">
        <v>331</v>
      </c>
      <c r="C145" s="15" t="s">
        <v>885</v>
      </c>
      <c r="D145" s="15" t="s">
        <v>18</v>
      </c>
      <c r="E145" s="15" t="s">
        <v>624</v>
      </c>
      <c r="F145" s="15" t="s">
        <v>254</v>
      </c>
      <c r="G145" s="16" t="s">
        <v>750</v>
      </c>
      <c r="H145" s="16" t="s">
        <v>941</v>
      </c>
      <c r="I145" s="36" t="s">
        <v>582</v>
      </c>
      <c r="J145" s="36" t="s">
        <v>1246</v>
      </c>
      <c r="K145" s="16" t="s">
        <v>332</v>
      </c>
      <c r="L145" s="17" t="s">
        <v>852</v>
      </c>
      <c r="M145" s="48" t="s">
        <v>639</v>
      </c>
      <c r="N145" s="48" t="s">
        <v>639</v>
      </c>
      <c r="O145" s="18" t="s">
        <v>886</v>
      </c>
      <c r="P145" s="18" t="s">
        <v>1023</v>
      </c>
      <c r="Q145" s="18" t="s">
        <v>888</v>
      </c>
      <c r="R145" s="40">
        <v>45923</v>
      </c>
      <c r="S145" s="19"/>
    </row>
    <row r="146" spans="1:19" ht="43.2" x14ac:dyDescent="0.3">
      <c r="A146" s="14">
        <v>144</v>
      </c>
      <c r="B146" s="15" t="s">
        <v>333</v>
      </c>
      <c r="C146" s="15" t="s">
        <v>885</v>
      </c>
      <c r="D146" s="15" t="s">
        <v>18</v>
      </c>
      <c r="E146" s="15" t="s">
        <v>659</v>
      </c>
      <c r="F146" s="15" t="s">
        <v>31</v>
      </c>
      <c r="G146" s="16" t="s">
        <v>751</v>
      </c>
      <c r="H146" s="16" t="s">
        <v>941</v>
      </c>
      <c r="I146" s="36" t="s">
        <v>583</v>
      </c>
      <c r="J146" s="36" t="s">
        <v>619</v>
      </c>
      <c r="K146" s="16" t="s">
        <v>334</v>
      </c>
      <c r="L146" s="17" t="s">
        <v>852</v>
      </c>
      <c r="M146" s="48" t="s">
        <v>639</v>
      </c>
      <c r="N146" s="48" t="s">
        <v>639</v>
      </c>
      <c r="O146" s="18" t="s">
        <v>886</v>
      </c>
      <c r="P146" s="18" t="s">
        <v>1024</v>
      </c>
      <c r="Q146" s="18" t="s">
        <v>888</v>
      </c>
      <c r="R146" s="40">
        <v>45923</v>
      </c>
      <c r="S146" s="19"/>
    </row>
    <row r="147" spans="1:19" ht="43.2" x14ac:dyDescent="0.3">
      <c r="A147" s="14">
        <v>145</v>
      </c>
      <c r="B147" s="15" t="s">
        <v>335</v>
      </c>
      <c r="C147" s="15" t="s">
        <v>885</v>
      </c>
      <c r="D147" s="15" t="s">
        <v>18</v>
      </c>
      <c r="E147" s="15" t="s">
        <v>494</v>
      </c>
      <c r="F147" s="15" t="s">
        <v>54</v>
      </c>
      <c r="G147" s="16" t="s">
        <v>732</v>
      </c>
      <c r="H147" s="16" t="s">
        <v>941</v>
      </c>
      <c r="I147" s="36" t="s">
        <v>584</v>
      </c>
      <c r="J147" s="36" t="s">
        <v>1249</v>
      </c>
      <c r="K147" s="16" t="s">
        <v>336</v>
      </c>
      <c r="L147" s="17" t="s">
        <v>852</v>
      </c>
      <c r="M147" s="48" t="s">
        <v>639</v>
      </c>
      <c r="N147" s="48" t="s">
        <v>639</v>
      </c>
      <c r="O147" s="18" t="s">
        <v>886</v>
      </c>
      <c r="P147" s="18" t="s">
        <v>1025</v>
      </c>
      <c r="Q147" s="18" t="s">
        <v>888</v>
      </c>
      <c r="R147" s="40">
        <v>45923</v>
      </c>
      <c r="S147" s="19"/>
    </row>
    <row r="148" spans="1:19" x14ac:dyDescent="0.3">
      <c r="A148" s="14">
        <v>146</v>
      </c>
      <c r="B148" s="15" t="s">
        <v>337</v>
      </c>
      <c r="C148" s="15" t="s">
        <v>885</v>
      </c>
      <c r="D148" s="15" t="s">
        <v>18</v>
      </c>
      <c r="E148" s="15" t="s">
        <v>494</v>
      </c>
      <c r="F148" s="15" t="s">
        <v>78</v>
      </c>
      <c r="G148" s="16" t="s">
        <v>752</v>
      </c>
      <c r="H148" s="16" t="s">
        <v>941</v>
      </c>
      <c r="I148" s="36" t="s">
        <v>497</v>
      </c>
      <c r="J148" s="36" t="s">
        <v>1241</v>
      </c>
      <c r="K148" s="16" t="s">
        <v>338</v>
      </c>
      <c r="L148" s="17" t="s">
        <v>852</v>
      </c>
      <c r="M148" s="48" t="s">
        <v>639</v>
      </c>
      <c r="N148" s="48" t="s">
        <v>639</v>
      </c>
      <c r="O148" s="18" t="s">
        <v>886</v>
      </c>
      <c r="P148" s="18" t="s">
        <v>1026</v>
      </c>
      <c r="Q148" s="18" t="s">
        <v>888</v>
      </c>
      <c r="R148" s="40">
        <v>45923</v>
      </c>
      <c r="S148" s="19"/>
    </row>
    <row r="149" spans="1:19" ht="72" x14ac:dyDescent="0.3">
      <c r="A149" s="14">
        <v>147</v>
      </c>
      <c r="B149" s="15" t="s">
        <v>339</v>
      </c>
      <c r="C149" s="15" t="s">
        <v>885</v>
      </c>
      <c r="D149" s="15" t="s">
        <v>18</v>
      </c>
      <c r="E149" s="15" t="s">
        <v>494</v>
      </c>
      <c r="F149" s="15" t="s">
        <v>17</v>
      </c>
      <c r="G149" s="16" t="s">
        <v>753</v>
      </c>
      <c r="H149" s="16" t="s">
        <v>941</v>
      </c>
      <c r="I149" s="36" t="s">
        <v>585</v>
      </c>
      <c r="J149" s="36" t="s">
        <v>1245</v>
      </c>
      <c r="K149" s="16" t="s">
        <v>340</v>
      </c>
      <c r="L149" s="17" t="s">
        <v>852</v>
      </c>
      <c r="M149" s="48" t="s">
        <v>639</v>
      </c>
      <c r="N149" s="48" t="s">
        <v>639</v>
      </c>
      <c r="O149" s="18" t="s">
        <v>886</v>
      </c>
      <c r="P149" s="18" t="s">
        <v>1027</v>
      </c>
      <c r="Q149" s="18" t="s">
        <v>888</v>
      </c>
      <c r="R149" s="40">
        <v>45923</v>
      </c>
      <c r="S149" s="19"/>
    </row>
    <row r="150" spans="1:19" ht="28.8" x14ac:dyDescent="0.3">
      <c r="A150" s="14">
        <v>148</v>
      </c>
      <c r="B150" s="15" t="s">
        <v>341</v>
      </c>
      <c r="C150" s="15" t="s">
        <v>885</v>
      </c>
      <c r="D150" s="15" t="s">
        <v>18</v>
      </c>
      <c r="E150" s="15" t="s">
        <v>624</v>
      </c>
      <c r="F150" s="15" t="s">
        <v>254</v>
      </c>
      <c r="G150" s="16" t="s">
        <v>754</v>
      </c>
      <c r="H150" s="16" t="s">
        <v>941</v>
      </c>
      <c r="I150" s="36" t="s">
        <v>586</v>
      </c>
      <c r="J150" s="36" t="s">
        <v>619</v>
      </c>
      <c r="K150" s="16" t="s">
        <v>342</v>
      </c>
      <c r="L150" s="17" t="s">
        <v>852</v>
      </c>
      <c r="M150" s="48" t="s">
        <v>639</v>
      </c>
      <c r="N150" s="48" t="s">
        <v>639</v>
      </c>
      <c r="O150" s="18" t="s">
        <v>886</v>
      </c>
      <c r="P150" s="18" t="s">
        <v>1028</v>
      </c>
      <c r="Q150" s="18" t="s">
        <v>888</v>
      </c>
      <c r="R150" s="40">
        <v>45923</v>
      </c>
      <c r="S150" s="19"/>
    </row>
    <row r="151" spans="1:19" ht="43.2" x14ac:dyDescent="0.3">
      <c r="A151" s="14">
        <v>149</v>
      </c>
      <c r="B151" s="15" t="s">
        <v>343</v>
      </c>
      <c r="C151" s="15" t="s">
        <v>885</v>
      </c>
      <c r="D151" s="15" t="s">
        <v>18</v>
      </c>
      <c r="E151" s="15" t="s">
        <v>494</v>
      </c>
      <c r="F151" s="15" t="s">
        <v>27</v>
      </c>
      <c r="G151" s="16" t="s">
        <v>755</v>
      </c>
      <c r="H151" s="16" t="s">
        <v>941</v>
      </c>
      <c r="I151" s="36" t="s">
        <v>497</v>
      </c>
      <c r="J151" s="36" t="s">
        <v>1241</v>
      </c>
      <c r="K151" s="16" t="s">
        <v>344</v>
      </c>
      <c r="L151" s="17" t="s">
        <v>852</v>
      </c>
      <c r="M151" s="48" t="s">
        <v>639</v>
      </c>
      <c r="N151" s="48" t="s">
        <v>639</v>
      </c>
      <c r="O151" s="18" t="s">
        <v>886</v>
      </c>
      <c r="P151" s="18" t="s">
        <v>1029</v>
      </c>
      <c r="Q151" s="18" t="s">
        <v>888</v>
      </c>
      <c r="R151" s="40">
        <v>45923</v>
      </c>
      <c r="S151" s="19"/>
    </row>
    <row r="152" spans="1:19" ht="28.8" x14ac:dyDescent="0.3">
      <c r="A152" s="14">
        <v>150</v>
      </c>
      <c r="B152" s="15" t="s">
        <v>345</v>
      </c>
      <c r="C152" s="15" t="s">
        <v>885</v>
      </c>
      <c r="D152" s="15" t="s">
        <v>18</v>
      </c>
      <c r="E152" s="15" t="s">
        <v>494</v>
      </c>
      <c r="F152" s="15" t="s">
        <v>27</v>
      </c>
      <c r="G152" s="16" t="s">
        <v>756</v>
      </c>
      <c r="H152" s="16" t="s">
        <v>941</v>
      </c>
      <c r="I152" s="36" t="s">
        <v>497</v>
      </c>
      <c r="J152" s="36" t="s">
        <v>1241</v>
      </c>
      <c r="K152" s="16" t="s">
        <v>346</v>
      </c>
      <c r="L152" s="17" t="s">
        <v>852</v>
      </c>
      <c r="M152" s="48" t="s">
        <v>639</v>
      </c>
      <c r="N152" s="48" t="s">
        <v>639</v>
      </c>
      <c r="O152" s="18" t="s">
        <v>886</v>
      </c>
      <c r="P152" s="18" t="s">
        <v>1030</v>
      </c>
      <c r="Q152" s="18" t="s">
        <v>888</v>
      </c>
      <c r="R152" s="40">
        <v>45923</v>
      </c>
      <c r="S152" s="19"/>
    </row>
    <row r="153" spans="1:19" ht="28.8" x14ac:dyDescent="0.3">
      <c r="A153" s="14">
        <v>151</v>
      </c>
      <c r="B153" s="15" t="s">
        <v>347</v>
      </c>
      <c r="C153" s="15" t="s">
        <v>885</v>
      </c>
      <c r="D153" s="15" t="s">
        <v>18</v>
      </c>
      <c r="E153" s="15" t="s">
        <v>494</v>
      </c>
      <c r="F153" s="15" t="s">
        <v>27</v>
      </c>
      <c r="G153" s="16" t="s">
        <v>757</v>
      </c>
      <c r="H153" s="16" t="s">
        <v>941</v>
      </c>
      <c r="I153" s="36" t="s">
        <v>497</v>
      </c>
      <c r="J153" s="36" t="s">
        <v>1241</v>
      </c>
      <c r="K153" s="16" t="s">
        <v>348</v>
      </c>
      <c r="L153" s="17" t="s">
        <v>852</v>
      </c>
      <c r="M153" s="48" t="s">
        <v>639</v>
      </c>
      <c r="N153" s="48" t="s">
        <v>639</v>
      </c>
      <c r="O153" s="18" t="s">
        <v>886</v>
      </c>
      <c r="P153" s="18" t="s">
        <v>1031</v>
      </c>
      <c r="Q153" s="18" t="s">
        <v>888</v>
      </c>
      <c r="R153" s="40">
        <v>45923</v>
      </c>
      <c r="S153" s="19"/>
    </row>
    <row r="154" spans="1:19" ht="28.8" x14ac:dyDescent="0.3">
      <c r="A154" s="14">
        <v>152</v>
      </c>
      <c r="B154" s="15" t="s">
        <v>349</v>
      </c>
      <c r="C154" s="15" t="s">
        <v>885</v>
      </c>
      <c r="D154" s="15" t="s">
        <v>18</v>
      </c>
      <c r="E154" s="15" t="s">
        <v>494</v>
      </c>
      <c r="F154" s="15" t="s">
        <v>181</v>
      </c>
      <c r="G154" s="16" t="s">
        <v>349</v>
      </c>
      <c r="H154" s="16" t="s">
        <v>941</v>
      </c>
      <c r="I154" s="36" t="s">
        <v>587</v>
      </c>
      <c r="J154" s="36" t="s">
        <v>1249</v>
      </c>
      <c r="K154" s="16" t="s">
        <v>350</v>
      </c>
      <c r="L154" s="17" t="s">
        <v>852</v>
      </c>
      <c r="M154" s="48" t="s">
        <v>639</v>
      </c>
      <c r="N154" s="48" t="s">
        <v>639</v>
      </c>
      <c r="O154" s="18" t="s">
        <v>886</v>
      </c>
      <c r="P154" s="18" t="s">
        <v>1032</v>
      </c>
      <c r="Q154" s="18" t="s">
        <v>888</v>
      </c>
      <c r="R154" s="40">
        <v>45923</v>
      </c>
      <c r="S154" s="19"/>
    </row>
    <row r="155" spans="1:19" ht="28.8" x14ac:dyDescent="0.3">
      <c r="A155" s="14">
        <v>153</v>
      </c>
      <c r="B155" s="15" t="s">
        <v>351</v>
      </c>
      <c r="C155" s="15" t="s">
        <v>885</v>
      </c>
      <c r="D155" s="15" t="s">
        <v>18</v>
      </c>
      <c r="E155" s="15" t="s">
        <v>623</v>
      </c>
      <c r="F155" s="15" t="s">
        <v>27</v>
      </c>
      <c r="G155" s="16" t="s">
        <v>758</v>
      </c>
      <c r="H155" s="16" t="s">
        <v>941</v>
      </c>
      <c r="I155" s="36" t="s">
        <v>497</v>
      </c>
      <c r="J155" s="36" t="s">
        <v>1241</v>
      </c>
      <c r="K155" s="16" t="s">
        <v>352</v>
      </c>
      <c r="L155" s="17" t="s">
        <v>852</v>
      </c>
      <c r="M155" s="48" t="s">
        <v>639</v>
      </c>
      <c r="N155" s="48" t="s">
        <v>639</v>
      </c>
      <c r="O155" s="18" t="s">
        <v>886</v>
      </c>
      <c r="P155" s="18" t="s">
        <v>1033</v>
      </c>
      <c r="Q155" s="18" t="s">
        <v>888</v>
      </c>
      <c r="R155" s="40">
        <v>45923</v>
      </c>
      <c r="S155" s="19"/>
    </row>
    <row r="156" spans="1:19" ht="43.2" x14ac:dyDescent="0.3">
      <c r="A156" s="14">
        <v>154</v>
      </c>
      <c r="B156" s="15" t="s">
        <v>353</v>
      </c>
      <c r="C156" s="15" t="s">
        <v>885</v>
      </c>
      <c r="D156" s="15" t="s">
        <v>35</v>
      </c>
      <c r="E156" s="15" t="s">
        <v>760</v>
      </c>
      <c r="F156" s="15" t="s">
        <v>75</v>
      </c>
      <c r="G156" s="16" t="s">
        <v>759</v>
      </c>
      <c r="H156" s="16" t="s">
        <v>941</v>
      </c>
      <c r="I156" s="36" t="s">
        <v>588</v>
      </c>
      <c r="J156" s="36" t="s">
        <v>619</v>
      </c>
      <c r="K156" s="16" t="s">
        <v>354</v>
      </c>
      <c r="L156" s="17" t="s">
        <v>852</v>
      </c>
      <c r="M156" s="48" t="s">
        <v>639</v>
      </c>
      <c r="N156" s="48" t="s">
        <v>639</v>
      </c>
      <c r="O156" s="18" t="s">
        <v>886</v>
      </c>
      <c r="P156" s="18" t="s">
        <v>1035</v>
      </c>
      <c r="Q156" s="18" t="s">
        <v>868</v>
      </c>
      <c r="R156" s="40">
        <v>45923</v>
      </c>
      <c r="S156" s="19"/>
    </row>
    <row r="157" spans="1:19" x14ac:dyDescent="0.3">
      <c r="A157" s="14">
        <v>155</v>
      </c>
      <c r="B157" s="15" t="s">
        <v>355</v>
      </c>
      <c r="C157" s="15" t="s">
        <v>885</v>
      </c>
      <c r="D157" s="15" t="s">
        <v>18</v>
      </c>
      <c r="E157" s="15" t="s">
        <v>623</v>
      </c>
      <c r="F157" s="15" t="s">
        <v>254</v>
      </c>
      <c r="G157" s="16" t="s">
        <v>761</v>
      </c>
      <c r="H157" s="16" t="s">
        <v>941</v>
      </c>
      <c r="I157" s="36" t="s">
        <v>497</v>
      </c>
      <c r="J157" s="36" t="s">
        <v>1241</v>
      </c>
      <c r="K157" s="16" t="s">
        <v>356</v>
      </c>
      <c r="L157" s="17" t="s">
        <v>852</v>
      </c>
      <c r="M157" s="48" t="s">
        <v>639</v>
      </c>
      <c r="N157" s="48" t="s">
        <v>639</v>
      </c>
      <c r="O157" s="18" t="s">
        <v>886</v>
      </c>
      <c r="P157" s="18" t="s">
        <v>1034</v>
      </c>
      <c r="Q157" s="18" t="s">
        <v>888</v>
      </c>
      <c r="R157" s="40">
        <v>45923</v>
      </c>
      <c r="S157" s="19"/>
    </row>
    <row r="158" spans="1:19" ht="43.2" x14ac:dyDescent="0.3">
      <c r="A158" s="14">
        <v>156</v>
      </c>
      <c r="B158" s="15" t="s">
        <v>357</v>
      </c>
      <c r="C158" s="15" t="s">
        <v>885</v>
      </c>
      <c r="D158" s="15" t="s">
        <v>18</v>
      </c>
      <c r="E158" s="15" t="s">
        <v>494</v>
      </c>
      <c r="F158" s="15" t="s">
        <v>78</v>
      </c>
      <c r="G158" s="16" t="s">
        <v>762</v>
      </c>
      <c r="H158" s="16" t="s">
        <v>941</v>
      </c>
      <c r="I158" s="36" t="s">
        <v>554</v>
      </c>
      <c r="J158" s="36" t="s">
        <v>1241</v>
      </c>
      <c r="K158" s="16" t="s">
        <v>358</v>
      </c>
      <c r="L158" s="17" t="s">
        <v>852</v>
      </c>
      <c r="M158" s="48" t="s">
        <v>639</v>
      </c>
      <c r="N158" s="48" t="s">
        <v>639</v>
      </c>
      <c r="O158" s="18"/>
      <c r="P158" s="18" t="s">
        <v>1036</v>
      </c>
      <c r="Q158" s="18" t="s">
        <v>868</v>
      </c>
      <c r="R158" s="40">
        <v>45923</v>
      </c>
      <c r="S158" s="19"/>
    </row>
    <row r="159" spans="1:19" ht="28.8" x14ac:dyDescent="0.3">
      <c r="A159" s="14">
        <v>157</v>
      </c>
      <c r="B159" s="15" t="s">
        <v>359</v>
      </c>
      <c r="C159" s="15" t="s">
        <v>885</v>
      </c>
      <c r="D159" s="15" t="s">
        <v>18</v>
      </c>
      <c r="E159" s="15" t="s">
        <v>494</v>
      </c>
      <c r="F159" s="15" t="s">
        <v>27</v>
      </c>
      <c r="G159" s="16" t="s">
        <v>763</v>
      </c>
      <c r="H159" s="45">
        <v>45334</v>
      </c>
      <c r="I159" s="36" t="s">
        <v>570</v>
      </c>
      <c r="J159" s="36" t="s">
        <v>1249</v>
      </c>
      <c r="K159" s="16" t="s">
        <v>360</v>
      </c>
      <c r="L159" s="17" t="s">
        <v>1097</v>
      </c>
      <c r="M159" s="17" t="s">
        <v>1144</v>
      </c>
      <c r="N159" s="17" t="s">
        <v>1226</v>
      </c>
      <c r="O159" s="18" t="s">
        <v>1152</v>
      </c>
      <c r="P159" s="43" t="s">
        <v>1037</v>
      </c>
      <c r="Q159" s="18" t="s">
        <v>888</v>
      </c>
      <c r="R159" s="40">
        <v>45923</v>
      </c>
      <c r="S159" s="19"/>
    </row>
    <row r="160" spans="1:19" ht="28.8" x14ac:dyDescent="0.3">
      <c r="A160" s="14">
        <v>158</v>
      </c>
      <c r="B160" s="15" t="s">
        <v>361</v>
      </c>
      <c r="C160" s="15" t="s">
        <v>1100</v>
      </c>
      <c r="D160" s="15" t="s">
        <v>18</v>
      </c>
      <c r="E160" s="15" t="s">
        <v>494</v>
      </c>
      <c r="F160" s="15" t="s">
        <v>62</v>
      </c>
      <c r="G160" s="16" t="s">
        <v>764</v>
      </c>
      <c r="H160" s="16" t="s">
        <v>941</v>
      </c>
      <c r="I160" s="36" t="s">
        <v>499</v>
      </c>
      <c r="J160" s="36" t="s">
        <v>1242</v>
      </c>
      <c r="K160" s="16" t="s">
        <v>362</v>
      </c>
      <c r="L160" s="17" t="s">
        <v>852</v>
      </c>
      <c r="M160" s="48" t="s">
        <v>639</v>
      </c>
      <c r="N160" s="48" t="s">
        <v>639</v>
      </c>
      <c r="O160" s="18" t="s">
        <v>886</v>
      </c>
      <c r="P160" s="18" t="s">
        <v>1038</v>
      </c>
      <c r="Q160" s="18" t="s">
        <v>888</v>
      </c>
      <c r="R160" s="40">
        <v>45923</v>
      </c>
      <c r="S160" s="19"/>
    </row>
    <row r="161" spans="1:19" x14ac:dyDescent="0.3">
      <c r="A161" s="14">
        <v>159</v>
      </c>
      <c r="B161" s="15" t="s">
        <v>363</v>
      </c>
      <c r="C161" s="15" t="s">
        <v>885</v>
      </c>
      <c r="D161" s="15" t="s">
        <v>18</v>
      </c>
      <c r="E161" s="15" t="s">
        <v>494</v>
      </c>
      <c r="F161" s="15" t="s">
        <v>54</v>
      </c>
      <c r="G161" s="16" t="s">
        <v>765</v>
      </c>
      <c r="H161" s="45">
        <v>44180</v>
      </c>
      <c r="I161" s="36" t="s">
        <v>497</v>
      </c>
      <c r="J161" s="36" t="s">
        <v>1241</v>
      </c>
      <c r="K161" s="16" t="s">
        <v>364</v>
      </c>
      <c r="L161" s="17" t="s">
        <v>1097</v>
      </c>
      <c r="M161" s="17" t="s">
        <v>1140</v>
      </c>
      <c r="N161" s="17" t="s">
        <v>1226</v>
      </c>
      <c r="O161" s="18" t="s">
        <v>1152</v>
      </c>
      <c r="P161" s="43" t="s">
        <v>1159</v>
      </c>
      <c r="Q161" s="18" t="s">
        <v>888</v>
      </c>
      <c r="R161" s="40">
        <v>45919</v>
      </c>
      <c r="S161" s="19"/>
    </row>
    <row r="162" spans="1:19" ht="28.8" x14ac:dyDescent="0.3">
      <c r="A162" s="14">
        <v>160</v>
      </c>
      <c r="B162" s="15" t="s">
        <v>365</v>
      </c>
      <c r="C162" s="15" t="s">
        <v>885</v>
      </c>
      <c r="D162" s="15" t="s">
        <v>18</v>
      </c>
      <c r="E162" s="15" t="s">
        <v>494</v>
      </c>
      <c r="F162" s="15" t="s">
        <v>27</v>
      </c>
      <c r="G162" s="16" t="s">
        <v>625</v>
      </c>
      <c r="H162" s="16" t="s">
        <v>941</v>
      </c>
      <c r="I162" s="36" t="s">
        <v>589</v>
      </c>
      <c r="J162" s="36" t="s">
        <v>1249</v>
      </c>
      <c r="K162" s="16" t="s">
        <v>366</v>
      </c>
      <c r="L162" s="17" t="s">
        <v>852</v>
      </c>
      <c r="M162" s="48" t="s">
        <v>639</v>
      </c>
      <c r="N162" s="48" t="s">
        <v>639</v>
      </c>
      <c r="O162" s="18" t="s">
        <v>886</v>
      </c>
      <c r="P162" s="18" t="s">
        <v>1039</v>
      </c>
      <c r="Q162" s="18" t="s">
        <v>888</v>
      </c>
      <c r="R162" s="40">
        <v>45923</v>
      </c>
      <c r="S162" s="19"/>
    </row>
    <row r="163" spans="1:19" ht="43.2" x14ac:dyDescent="0.3">
      <c r="A163" s="14">
        <v>161</v>
      </c>
      <c r="B163" s="15" t="s">
        <v>367</v>
      </c>
      <c r="C163" s="15" t="s">
        <v>885</v>
      </c>
      <c r="D163" s="15" t="s">
        <v>18</v>
      </c>
      <c r="E163" s="15" t="s">
        <v>487</v>
      </c>
      <c r="F163" s="15" t="s">
        <v>34</v>
      </c>
      <c r="G163" s="16" t="s">
        <v>766</v>
      </c>
      <c r="H163" s="16" t="s">
        <v>941</v>
      </c>
      <c r="I163" s="36" t="s">
        <v>590</v>
      </c>
      <c r="J163" s="36" t="s">
        <v>1244</v>
      </c>
      <c r="K163" s="16" t="s">
        <v>368</v>
      </c>
      <c r="L163" s="17" t="s">
        <v>852</v>
      </c>
      <c r="M163" s="48" t="s">
        <v>639</v>
      </c>
      <c r="N163" s="48" t="s">
        <v>639</v>
      </c>
      <c r="O163" s="18" t="s">
        <v>886</v>
      </c>
      <c r="P163" s="18" t="s">
        <v>1040</v>
      </c>
      <c r="Q163" s="18" t="s">
        <v>888</v>
      </c>
      <c r="R163" s="40">
        <v>45923</v>
      </c>
      <c r="S163" s="19"/>
    </row>
    <row r="164" spans="1:19" ht="43.2" x14ac:dyDescent="0.3">
      <c r="A164" s="14">
        <v>162</v>
      </c>
      <c r="B164" s="15" t="s">
        <v>369</v>
      </c>
      <c r="C164" s="15" t="s">
        <v>885</v>
      </c>
      <c r="D164" s="15" t="s">
        <v>18</v>
      </c>
      <c r="E164" s="15" t="s">
        <v>494</v>
      </c>
      <c r="F164" s="15" t="s">
        <v>27</v>
      </c>
      <c r="G164" s="16" t="s">
        <v>767</v>
      </c>
      <c r="H164" s="16" t="s">
        <v>941</v>
      </c>
      <c r="I164" s="36" t="s">
        <v>497</v>
      </c>
      <c r="J164" s="36" t="s">
        <v>1241</v>
      </c>
      <c r="K164" s="16" t="s">
        <v>370</v>
      </c>
      <c r="L164" s="17" t="s">
        <v>852</v>
      </c>
      <c r="M164" s="48" t="s">
        <v>639</v>
      </c>
      <c r="N164" s="48" t="s">
        <v>639</v>
      </c>
      <c r="O164" s="18" t="s">
        <v>886</v>
      </c>
      <c r="P164" s="18" t="s">
        <v>1041</v>
      </c>
      <c r="Q164" s="18" t="s">
        <v>888</v>
      </c>
      <c r="R164" s="40">
        <v>45923</v>
      </c>
      <c r="S164" s="19"/>
    </row>
    <row r="165" spans="1:19" ht="43.2" x14ac:dyDescent="0.3">
      <c r="A165" s="14">
        <v>163</v>
      </c>
      <c r="B165" s="15" t="s">
        <v>371</v>
      </c>
      <c r="C165" s="15" t="s">
        <v>885</v>
      </c>
      <c r="D165" s="15" t="s">
        <v>18</v>
      </c>
      <c r="E165" s="15" t="s">
        <v>643</v>
      </c>
      <c r="F165" s="15" t="s">
        <v>238</v>
      </c>
      <c r="G165" s="16" t="s">
        <v>768</v>
      </c>
      <c r="H165" s="45">
        <v>44859</v>
      </c>
      <c r="I165" s="36" t="s">
        <v>591</v>
      </c>
      <c r="J165" s="36" t="s">
        <v>1244</v>
      </c>
      <c r="K165" s="16" t="s">
        <v>372</v>
      </c>
      <c r="L165" s="17" t="s">
        <v>1097</v>
      </c>
      <c r="M165" s="17" t="s">
        <v>1140</v>
      </c>
      <c r="N165" s="17" t="s">
        <v>1227</v>
      </c>
      <c r="O165" s="18" t="s">
        <v>1152</v>
      </c>
      <c r="P165" s="43" t="s">
        <v>1160</v>
      </c>
      <c r="Q165" s="18" t="s">
        <v>888</v>
      </c>
      <c r="R165" s="40">
        <v>45919</v>
      </c>
      <c r="S165" s="19" t="s">
        <v>1095</v>
      </c>
    </row>
    <row r="166" spans="1:19" ht="28.8" x14ac:dyDescent="0.3">
      <c r="A166" s="14">
        <v>164</v>
      </c>
      <c r="B166" s="15" t="s">
        <v>373</v>
      </c>
      <c r="C166" s="15" t="s">
        <v>885</v>
      </c>
      <c r="D166" s="15" t="s">
        <v>85</v>
      </c>
      <c r="E166" s="15" t="s">
        <v>770</v>
      </c>
      <c r="F166" s="15" t="s">
        <v>374</v>
      </c>
      <c r="G166" s="16" t="s">
        <v>769</v>
      </c>
      <c r="H166" s="45">
        <v>44336</v>
      </c>
      <c r="I166" s="36" t="s">
        <v>497</v>
      </c>
      <c r="J166" s="36" t="s">
        <v>1241</v>
      </c>
      <c r="K166" s="16" t="s">
        <v>375</v>
      </c>
      <c r="L166" s="17" t="s">
        <v>1097</v>
      </c>
      <c r="M166" s="17" t="s">
        <v>1140</v>
      </c>
      <c r="N166" s="17" t="s">
        <v>1226</v>
      </c>
      <c r="O166" s="18" t="s">
        <v>1152</v>
      </c>
      <c r="P166" s="43" t="s">
        <v>1161</v>
      </c>
      <c r="Q166" s="18" t="s">
        <v>888</v>
      </c>
      <c r="R166" s="40">
        <v>45919</v>
      </c>
      <c r="S166" s="19"/>
    </row>
    <row r="167" spans="1:19" ht="43.2" x14ac:dyDescent="0.3">
      <c r="A167" s="14">
        <v>165</v>
      </c>
      <c r="B167" s="15" t="s">
        <v>376</v>
      </c>
      <c r="C167" s="15" t="s">
        <v>885</v>
      </c>
      <c r="D167" s="15" t="s">
        <v>18</v>
      </c>
      <c r="E167" s="15" t="s">
        <v>772</v>
      </c>
      <c r="F167" s="15" t="s">
        <v>24</v>
      </c>
      <c r="G167" s="16" t="s">
        <v>771</v>
      </c>
      <c r="H167" s="16" t="s">
        <v>941</v>
      </c>
      <c r="I167" s="36" t="s">
        <v>592</v>
      </c>
      <c r="J167" s="36" t="s">
        <v>1244</v>
      </c>
      <c r="K167" s="16" t="s">
        <v>377</v>
      </c>
      <c r="L167" s="17" t="s">
        <v>852</v>
      </c>
      <c r="M167" s="48" t="s">
        <v>639</v>
      </c>
      <c r="N167" s="48" t="s">
        <v>639</v>
      </c>
      <c r="O167" s="18" t="s">
        <v>886</v>
      </c>
      <c r="P167" s="18" t="s">
        <v>1042</v>
      </c>
      <c r="Q167" s="18" t="s">
        <v>888</v>
      </c>
      <c r="R167" s="40">
        <v>45923</v>
      </c>
      <c r="S167" s="19"/>
    </row>
    <row r="168" spans="1:19" ht="28.8" x14ac:dyDescent="0.3">
      <c r="A168" s="14">
        <v>166</v>
      </c>
      <c r="B168" s="15" t="s">
        <v>378</v>
      </c>
      <c r="C168" s="15" t="s">
        <v>885</v>
      </c>
      <c r="D168" s="15" t="s">
        <v>18</v>
      </c>
      <c r="E168" s="15" t="s">
        <v>624</v>
      </c>
      <c r="F168" s="15" t="s">
        <v>24</v>
      </c>
      <c r="G168" s="16" t="s">
        <v>773</v>
      </c>
      <c r="H168" s="16" t="s">
        <v>941</v>
      </c>
      <c r="I168" s="36" t="s">
        <v>593</v>
      </c>
      <c r="J168" s="36" t="s">
        <v>1244</v>
      </c>
      <c r="K168" s="16" t="s">
        <v>379</v>
      </c>
      <c r="L168" s="17" t="s">
        <v>852</v>
      </c>
      <c r="M168" s="48" t="s">
        <v>639</v>
      </c>
      <c r="N168" s="48" t="s">
        <v>639</v>
      </c>
      <c r="O168" s="18" t="s">
        <v>886</v>
      </c>
      <c r="P168" s="18" t="s">
        <v>1043</v>
      </c>
      <c r="Q168" s="18" t="s">
        <v>888</v>
      </c>
      <c r="R168" s="40">
        <v>45923</v>
      </c>
      <c r="S168" s="19"/>
    </row>
    <row r="169" spans="1:19" ht="43.2" x14ac:dyDescent="0.3">
      <c r="A169" s="14">
        <v>167</v>
      </c>
      <c r="B169" s="15" t="s">
        <v>380</v>
      </c>
      <c r="C169" s="15" t="s">
        <v>885</v>
      </c>
      <c r="D169" s="15" t="s">
        <v>18</v>
      </c>
      <c r="E169" s="15" t="s">
        <v>494</v>
      </c>
      <c r="F169" s="15" t="s">
        <v>27</v>
      </c>
      <c r="G169" s="16" t="s">
        <v>774</v>
      </c>
      <c r="H169" s="16" t="s">
        <v>941</v>
      </c>
      <c r="I169" s="36" t="s">
        <v>497</v>
      </c>
      <c r="J169" s="36" t="s">
        <v>619</v>
      </c>
      <c r="K169" s="16" t="s">
        <v>381</v>
      </c>
      <c r="L169" s="17" t="s">
        <v>852</v>
      </c>
      <c r="M169" s="48" t="s">
        <v>639</v>
      </c>
      <c r="N169" s="48" t="s">
        <v>639</v>
      </c>
      <c r="O169" s="18" t="s">
        <v>886</v>
      </c>
      <c r="P169" s="18" t="s">
        <v>1044</v>
      </c>
      <c r="Q169" s="18" t="s">
        <v>888</v>
      </c>
      <c r="R169" s="40">
        <v>45923</v>
      </c>
      <c r="S169" s="19"/>
    </row>
    <row r="170" spans="1:19" ht="43.2" x14ac:dyDescent="0.3">
      <c r="A170" s="14">
        <v>168</v>
      </c>
      <c r="B170" s="15" t="s">
        <v>382</v>
      </c>
      <c r="C170" s="15" t="s">
        <v>885</v>
      </c>
      <c r="D170" s="15" t="s">
        <v>18</v>
      </c>
      <c r="E170" s="15" t="s">
        <v>643</v>
      </c>
      <c r="F170" s="15" t="s">
        <v>72</v>
      </c>
      <c r="G170" s="16" t="s">
        <v>775</v>
      </c>
      <c r="H170" s="16" t="s">
        <v>941</v>
      </c>
      <c r="I170" s="36" t="s">
        <v>594</v>
      </c>
      <c r="J170" s="36" t="s">
        <v>1246</v>
      </c>
      <c r="K170" s="16" t="s">
        <v>383</v>
      </c>
      <c r="L170" s="17" t="s">
        <v>852</v>
      </c>
      <c r="M170" s="48" t="s">
        <v>639</v>
      </c>
      <c r="N170" s="48" t="s">
        <v>639</v>
      </c>
      <c r="O170" s="18" t="s">
        <v>886</v>
      </c>
      <c r="P170" s="18" t="s">
        <v>1045</v>
      </c>
      <c r="Q170" s="18" t="s">
        <v>888</v>
      </c>
      <c r="R170" s="40">
        <v>45923</v>
      </c>
      <c r="S170" s="19"/>
    </row>
    <row r="171" spans="1:19" ht="43.2" x14ac:dyDescent="0.3">
      <c r="A171" s="14">
        <v>169</v>
      </c>
      <c r="B171" s="15" t="s">
        <v>384</v>
      </c>
      <c r="C171" s="15" t="s">
        <v>885</v>
      </c>
      <c r="D171" s="15" t="s">
        <v>18</v>
      </c>
      <c r="E171" s="15" t="s">
        <v>494</v>
      </c>
      <c r="F171" s="15" t="s">
        <v>238</v>
      </c>
      <c r="G171" s="16" t="s">
        <v>776</v>
      </c>
      <c r="H171" s="16" t="s">
        <v>941</v>
      </c>
      <c r="I171" s="36" t="s">
        <v>504</v>
      </c>
      <c r="J171" s="36" t="s">
        <v>1248</v>
      </c>
      <c r="K171" s="16" t="s">
        <v>385</v>
      </c>
      <c r="L171" s="17" t="s">
        <v>852</v>
      </c>
      <c r="M171" s="48" t="s">
        <v>639</v>
      </c>
      <c r="N171" s="48" t="s">
        <v>639</v>
      </c>
      <c r="O171" s="18" t="s">
        <v>886</v>
      </c>
      <c r="P171" s="18" t="s">
        <v>1046</v>
      </c>
      <c r="Q171" s="18" t="s">
        <v>888</v>
      </c>
      <c r="R171" s="40">
        <v>45923</v>
      </c>
      <c r="S171" s="19"/>
    </row>
    <row r="172" spans="1:19" ht="28.8" x14ac:dyDescent="0.3">
      <c r="A172" s="14">
        <v>170</v>
      </c>
      <c r="B172" s="15" t="s">
        <v>386</v>
      </c>
      <c r="C172" s="15" t="s">
        <v>1100</v>
      </c>
      <c r="D172" s="15" t="s">
        <v>18</v>
      </c>
      <c r="E172" s="15" t="s">
        <v>623</v>
      </c>
      <c r="F172" s="15" t="s">
        <v>387</v>
      </c>
      <c r="G172" s="16" t="s">
        <v>777</v>
      </c>
      <c r="H172" s="16" t="s">
        <v>941</v>
      </c>
      <c r="I172" s="36" t="s">
        <v>595</v>
      </c>
      <c r="J172" s="36" t="s">
        <v>1249</v>
      </c>
      <c r="K172" s="16" t="s">
        <v>388</v>
      </c>
      <c r="L172" s="17" t="s">
        <v>852</v>
      </c>
      <c r="M172" s="48" t="s">
        <v>639</v>
      </c>
      <c r="N172" s="48" t="s">
        <v>639</v>
      </c>
      <c r="O172" s="18" t="s">
        <v>886</v>
      </c>
      <c r="P172" s="18" t="s">
        <v>1047</v>
      </c>
      <c r="Q172" s="18" t="s">
        <v>888</v>
      </c>
      <c r="R172" s="40">
        <v>45923</v>
      </c>
      <c r="S172" s="19"/>
    </row>
    <row r="173" spans="1:19" ht="28.8" x14ac:dyDescent="0.3">
      <c r="A173" s="14">
        <v>171</v>
      </c>
      <c r="B173" s="15" t="s">
        <v>389</v>
      </c>
      <c r="C173" s="15" t="s">
        <v>885</v>
      </c>
      <c r="D173" s="15" t="s">
        <v>18</v>
      </c>
      <c r="E173" s="15" t="s">
        <v>494</v>
      </c>
      <c r="F173" s="15" t="s">
        <v>27</v>
      </c>
      <c r="G173" s="16" t="s">
        <v>778</v>
      </c>
      <c r="H173" s="16" t="s">
        <v>941</v>
      </c>
      <c r="I173" s="36" t="s">
        <v>596</v>
      </c>
      <c r="J173" s="36" t="s">
        <v>619</v>
      </c>
      <c r="K173" s="16" t="s">
        <v>390</v>
      </c>
      <c r="L173" s="17" t="s">
        <v>852</v>
      </c>
      <c r="M173" s="48" t="s">
        <v>639</v>
      </c>
      <c r="N173" s="48" t="s">
        <v>639</v>
      </c>
      <c r="O173" s="18" t="s">
        <v>886</v>
      </c>
      <c r="P173" s="18" t="s">
        <v>1048</v>
      </c>
      <c r="Q173" s="18" t="s">
        <v>888</v>
      </c>
      <c r="R173" s="40">
        <v>45923</v>
      </c>
      <c r="S173" s="19"/>
    </row>
    <row r="174" spans="1:19" ht="43.2" x14ac:dyDescent="0.3">
      <c r="A174" s="14">
        <v>172</v>
      </c>
      <c r="B174" s="15" t="s">
        <v>391</v>
      </c>
      <c r="C174" s="15" t="s">
        <v>885</v>
      </c>
      <c r="D174" s="15" t="s">
        <v>18</v>
      </c>
      <c r="E174" s="15" t="s">
        <v>494</v>
      </c>
      <c r="F174" s="15" t="s">
        <v>392</v>
      </c>
      <c r="G174" s="16" t="s">
        <v>779</v>
      </c>
      <c r="H174" s="16" t="s">
        <v>941</v>
      </c>
      <c r="I174" s="36" t="s">
        <v>597</v>
      </c>
      <c r="J174" s="36" t="s">
        <v>1243</v>
      </c>
      <c r="K174" s="16" t="s">
        <v>393</v>
      </c>
      <c r="L174" s="17" t="s">
        <v>852</v>
      </c>
      <c r="M174" s="48" t="s">
        <v>639</v>
      </c>
      <c r="N174" s="48" t="s">
        <v>639</v>
      </c>
      <c r="O174" s="18" t="s">
        <v>886</v>
      </c>
      <c r="P174" s="18" t="s">
        <v>1049</v>
      </c>
      <c r="Q174" s="18" t="s">
        <v>888</v>
      </c>
      <c r="R174" s="40">
        <v>45923</v>
      </c>
      <c r="S174" s="19"/>
    </row>
    <row r="175" spans="1:19" ht="28.8" x14ac:dyDescent="0.3">
      <c r="A175" s="14">
        <v>173</v>
      </c>
      <c r="B175" s="15" t="s">
        <v>394</v>
      </c>
      <c r="C175" s="15" t="s">
        <v>885</v>
      </c>
      <c r="D175" s="15" t="s">
        <v>28</v>
      </c>
      <c r="E175" s="15" t="s">
        <v>743</v>
      </c>
      <c r="F175" s="15" t="s">
        <v>146</v>
      </c>
      <c r="G175" s="16" t="s">
        <v>780</v>
      </c>
      <c r="H175" s="16" t="s">
        <v>941</v>
      </c>
      <c r="I175" s="36" t="s">
        <v>598</v>
      </c>
      <c r="J175" s="36" t="s">
        <v>619</v>
      </c>
      <c r="K175" s="16" t="s">
        <v>395</v>
      </c>
      <c r="L175" s="17" t="s">
        <v>852</v>
      </c>
      <c r="M175" s="48" t="s">
        <v>639</v>
      </c>
      <c r="N175" s="48" t="s">
        <v>639</v>
      </c>
      <c r="O175" s="18" t="s">
        <v>886</v>
      </c>
      <c r="P175" s="18" t="s">
        <v>1050</v>
      </c>
      <c r="Q175" s="18" t="s">
        <v>868</v>
      </c>
      <c r="R175" s="40">
        <v>45923</v>
      </c>
      <c r="S175" s="19"/>
    </row>
    <row r="176" spans="1:19" ht="28.8" x14ac:dyDescent="0.3">
      <c r="A176" s="14">
        <v>174</v>
      </c>
      <c r="B176" s="15" t="s">
        <v>396</v>
      </c>
      <c r="C176" s="15" t="s">
        <v>885</v>
      </c>
      <c r="D176" s="15" t="s">
        <v>18</v>
      </c>
      <c r="E176" s="15" t="s">
        <v>624</v>
      </c>
      <c r="F176" s="15" t="s">
        <v>27</v>
      </c>
      <c r="G176" s="16" t="s">
        <v>781</v>
      </c>
      <c r="H176" s="16" t="s">
        <v>941</v>
      </c>
      <c r="I176" s="36" t="s">
        <v>560</v>
      </c>
      <c r="J176" s="36" t="s">
        <v>619</v>
      </c>
      <c r="K176" s="16" t="s">
        <v>397</v>
      </c>
      <c r="L176" s="17" t="s">
        <v>852</v>
      </c>
      <c r="M176" s="48" t="s">
        <v>639</v>
      </c>
      <c r="N176" s="48" t="s">
        <v>639</v>
      </c>
      <c r="O176" s="18" t="s">
        <v>886</v>
      </c>
      <c r="P176" s="18" t="s">
        <v>1051</v>
      </c>
      <c r="Q176" s="18" t="s">
        <v>888</v>
      </c>
      <c r="R176" s="40">
        <v>45923</v>
      </c>
      <c r="S176" s="19"/>
    </row>
    <row r="177" spans="1:19" ht="43.2" x14ac:dyDescent="0.3">
      <c r="A177" s="14">
        <v>175</v>
      </c>
      <c r="B177" s="15" t="s">
        <v>398</v>
      </c>
      <c r="C177" s="15" t="s">
        <v>885</v>
      </c>
      <c r="D177" s="15" t="s">
        <v>18</v>
      </c>
      <c r="E177" s="15" t="s">
        <v>650</v>
      </c>
      <c r="F177" s="15" t="s">
        <v>399</v>
      </c>
      <c r="G177" s="16" t="s">
        <v>782</v>
      </c>
      <c r="H177" s="16" t="s">
        <v>941</v>
      </c>
      <c r="I177" s="36" t="s">
        <v>599</v>
      </c>
      <c r="J177" s="36" t="s">
        <v>619</v>
      </c>
      <c r="K177" s="16" t="s">
        <v>400</v>
      </c>
      <c r="L177" s="17" t="s">
        <v>852</v>
      </c>
      <c r="M177" s="48" t="s">
        <v>639</v>
      </c>
      <c r="N177" s="48" t="s">
        <v>639</v>
      </c>
      <c r="O177" s="18" t="s">
        <v>886</v>
      </c>
      <c r="P177" s="18" t="s">
        <v>1052</v>
      </c>
      <c r="Q177" s="18" t="s">
        <v>888</v>
      </c>
      <c r="R177" s="40">
        <v>45923</v>
      </c>
      <c r="S177" s="19"/>
    </row>
    <row r="178" spans="1:19" ht="57.6" x14ac:dyDescent="0.3">
      <c r="A178" s="14">
        <v>176</v>
      </c>
      <c r="B178" s="15" t="s">
        <v>401</v>
      </c>
      <c r="C178" s="15" t="s">
        <v>885</v>
      </c>
      <c r="D178" s="15" t="s">
        <v>18</v>
      </c>
      <c r="E178" s="15" t="s">
        <v>494</v>
      </c>
      <c r="F178" s="15" t="s">
        <v>249</v>
      </c>
      <c r="G178" s="16" t="s">
        <v>783</v>
      </c>
      <c r="H178" s="16" t="s">
        <v>941</v>
      </c>
      <c r="I178" s="36" t="s">
        <v>600</v>
      </c>
      <c r="J178" s="36" t="s">
        <v>1241</v>
      </c>
      <c r="K178" s="16" t="s">
        <v>402</v>
      </c>
      <c r="L178" s="17" t="s">
        <v>852</v>
      </c>
      <c r="M178" s="48" t="s">
        <v>639</v>
      </c>
      <c r="N178" s="48" t="s">
        <v>639</v>
      </c>
      <c r="O178" s="18" t="s">
        <v>886</v>
      </c>
      <c r="P178" s="18" t="s">
        <v>1053</v>
      </c>
      <c r="Q178" s="18" t="s">
        <v>888</v>
      </c>
      <c r="R178" s="40">
        <v>45923</v>
      </c>
      <c r="S178" s="19"/>
    </row>
    <row r="179" spans="1:19" ht="28.8" x14ac:dyDescent="0.3">
      <c r="A179" s="14">
        <v>177</v>
      </c>
      <c r="B179" s="15" t="s">
        <v>403</v>
      </c>
      <c r="C179" s="15" t="s">
        <v>885</v>
      </c>
      <c r="D179" s="15" t="s">
        <v>35</v>
      </c>
      <c r="E179" s="15" t="s">
        <v>785</v>
      </c>
      <c r="F179" s="15" t="s">
        <v>27</v>
      </c>
      <c r="G179" s="16" t="s">
        <v>784</v>
      </c>
      <c r="H179" s="16" t="s">
        <v>941</v>
      </c>
      <c r="I179" s="36" t="s">
        <v>593</v>
      </c>
      <c r="J179" s="36" t="s">
        <v>1244</v>
      </c>
      <c r="K179" s="16" t="s">
        <v>404</v>
      </c>
      <c r="L179" s="17" t="s">
        <v>852</v>
      </c>
      <c r="M179" s="48" t="s">
        <v>639</v>
      </c>
      <c r="N179" s="48" t="s">
        <v>639</v>
      </c>
      <c r="O179" s="18"/>
      <c r="P179" s="18" t="s">
        <v>1054</v>
      </c>
      <c r="Q179" s="18" t="s">
        <v>868</v>
      </c>
      <c r="R179" s="40">
        <v>45923</v>
      </c>
      <c r="S179" s="19"/>
    </row>
    <row r="180" spans="1:19" x14ac:dyDescent="0.3">
      <c r="A180" s="14">
        <v>178</v>
      </c>
      <c r="B180" s="15" t="s">
        <v>405</v>
      </c>
      <c r="C180" s="15" t="s">
        <v>885</v>
      </c>
      <c r="D180" s="15" t="s">
        <v>18</v>
      </c>
      <c r="E180" s="15" t="s">
        <v>623</v>
      </c>
      <c r="F180" s="15" t="s">
        <v>27</v>
      </c>
      <c r="G180" s="16" t="s">
        <v>786</v>
      </c>
      <c r="H180" s="16" t="s">
        <v>941</v>
      </c>
      <c r="I180" s="36" t="s">
        <v>497</v>
      </c>
      <c r="J180" s="36" t="s">
        <v>1241</v>
      </c>
      <c r="K180" s="16" t="s">
        <v>406</v>
      </c>
      <c r="L180" s="17" t="s">
        <v>852</v>
      </c>
      <c r="M180" s="48" t="s">
        <v>639</v>
      </c>
      <c r="N180" s="48" t="s">
        <v>639</v>
      </c>
      <c r="O180" s="18" t="s">
        <v>886</v>
      </c>
      <c r="P180" s="18" t="s">
        <v>1055</v>
      </c>
      <c r="Q180" s="18" t="s">
        <v>888</v>
      </c>
      <c r="R180" s="40">
        <v>45923</v>
      </c>
      <c r="S180" s="19"/>
    </row>
    <row r="181" spans="1:19" x14ac:dyDescent="0.3">
      <c r="A181" s="14">
        <v>179</v>
      </c>
      <c r="B181" s="15" t="s">
        <v>407</v>
      </c>
      <c r="C181" s="15" t="s">
        <v>885</v>
      </c>
      <c r="D181" s="15" t="s">
        <v>18</v>
      </c>
      <c r="E181" s="15" t="s">
        <v>620</v>
      </c>
      <c r="F181" s="15" t="s">
        <v>327</v>
      </c>
      <c r="G181" s="16" t="s">
        <v>748</v>
      </c>
      <c r="H181" s="16" t="s">
        <v>941</v>
      </c>
      <c r="I181" s="36" t="s">
        <v>498</v>
      </c>
      <c r="J181" s="36" t="s">
        <v>1242</v>
      </c>
      <c r="K181" s="16" t="s">
        <v>408</v>
      </c>
      <c r="L181" s="17" t="s">
        <v>852</v>
      </c>
      <c r="M181" s="48" t="s">
        <v>639</v>
      </c>
      <c r="N181" s="48" t="s">
        <v>639</v>
      </c>
      <c r="O181" s="18" t="s">
        <v>886</v>
      </c>
      <c r="P181" s="18" t="s">
        <v>1056</v>
      </c>
      <c r="Q181" s="18" t="s">
        <v>888</v>
      </c>
      <c r="R181" s="40">
        <v>45923</v>
      </c>
      <c r="S181" s="19"/>
    </row>
    <row r="182" spans="1:19" ht="43.2" x14ac:dyDescent="0.3">
      <c r="A182" s="14">
        <v>180</v>
      </c>
      <c r="B182" s="15" t="s">
        <v>409</v>
      </c>
      <c r="C182" s="15" t="s">
        <v>1100</v>
      </c>
      <c r="D182" s="15" t="s">
        <v>18</v>
      </c>
      <c r="E182" s="15" t="s">
        <v>623</v>
      </c>
      <c r="F182" s="15" t="s">
        <v>27</v>
      </c>
      <c r="G182" s="16" t="s">
        <v>787</v>
      </c>
      <c r="H182" s="16" t="s">
        <v>941</v>
      </c>
      <c r="I182" s="36" t="s">
        <v>579</v>
      </c>
      <c r="J182" s="36" t="s">
        <v>1241</v>
      </c>
      <c r="K182" s="16" t="s">
        <v>410</v>
      </c>
      <c r="L182" s="17" t="s">
        <v>852</v>
      </c>
      <c r="M182" s="48" t="s">
        <v>639</v>
      </c>
      <c r="N182" s="48" t="s">
        <v>639</v>
      </c>
      <c r="O182" s="18" t="s">
        <v>886</v>
      </c>
      <c r="P182" s="18" t="s">
        <v>1057</v>
      </c>
      <c r="Q182" s="18" t="s">
        <v>888</v>
      </c>
      <c r="R182" s="40">
        <v>45923</v>
      </c>
      <c r="S182" s="19"/>
    </row>
    <row r="183" spans="1:19" ht="43.2" x14ac:dyDescent="0.3">
      <c r="A183" s="14">
        <v>181</v>
      </c>
      <c r="B183" s="15" t="s">
        <v>411</v>
      </c>
      <c r="C183" s="15" t="s">
        <v>885</v>
      </c>
      <c r="D183" s="15" t="s">
        <v>28</v>
      </c>
      <c r="E183" s="15" t="s">
        <v>735</v>
      </c>
      <c r="F183" s="15" t="s">
        <v>54</v>
      </c>
      <c r="G183" s="16" t="s">
        <v>788</v>
      </c>
      <c r="H183" s="16" t="s">
        <v>941</v>
      </c>
      <c r="I183" s="36" t="s">
        <v>499</v>
      </c>
      <c r="J183" s="36" t="s">
        <v>1242</v>
      </c>
      <c r="K183" s="16" t="s">
        <v>412</v>
      </c>
      <c r="L183" s="17" t="s">
        <v>852</v>
      </c>
      <c r="M183" s="48" t="s">
        <v>639</v>
      </c>
      <c r="N183" s="48" t="s">
        <v>639</v>
      </c>
      <c r="O183" s="18" t="s">
        <v>886</v>
      </c>
      <c r="P183" s="18" t="s">
        <v>1058</v>
      </c>
      <c r="Q183" s="18" t="s">
        <v>868</v>
      </c>
      <c r="R183" s="40">
        <v>45923</v>
      </c>
      <c r="S183" s="19"/>
    </row>
    <row r="184" spans="1:19" ht="28.8" x14ac:dyDescent="0.3">
      <c r="A184" s="14">
        <v>182</v>
      </c>
      <c r="B184" s="15" t="s">
        <v>413</v>
      </c>
      <c r="C184" s="15" t="s">
        <v>885</v>
      </c>
      <c r="D184" s="15" t="s">
        <v>18</v>
      </c>
      <c r="E184" s="15" t="s">
        <v>623</v>
      </c>
      <c r="F184" s="15" t="s">
        <v>54</v>
      </c>
      <c r="G184" s="16" t="s">
        <v>647</v>
      </c>
      <c r="H184" s="16" t="s">
        <v>941</v>
      </c>
      <c r="I184" s="36" t="s">
        <v>575</v>
      </c>
      <c r="J184" s="36" t="s">
        <v>1242</v>
      </c>
      <c r="K184" s="16" t="s">
        <v>414</v>
      </c>
      <c r="L184" s="17" t="s">
        <v>852</v>
      </c>
      <c r="M184" s="48" t="s">
        <v>639</v>
      </c>
      <c r="N184" s="48" t="s">
        <v>639</v>
      </c>
      <c r="O184" s="18" t="s">
        <v>886</v>
      </c>
      <c r="P184" s="18" t="s">
        <v>1059</v>
      </c>
      <c r="Q184" s="18" t="s">
        <v>888</v>
      </c>
      <c r="R184" s="40">
        <v>45923</v>
      </c>
      <c r="S184" s="19"/>
    </row>
    <row r="185" spans="1:19" ht="43.2" x14ac:dyDescent="0.3">
      <c r="A185" s="14">
        <v>183</v>
      </c>
      <c r="B185" s="15" t="s">
        <v>415</v>
      </c>
      <c r="C185" s="15" t="s">
        <v>885</v>
      </c>
      <c r="D185" s="15" t="s">
        <v>18</v>
      </c>
      <c r="E185" s="15" t="s">
        <v>620</v>
      </c>
      <c r="F185" s="15" t="s">
        <v>54</v>
      </c>
      <c r="G185" s="16" t="s">
        <v>647</v>
      </c>
      <c r="H185" s="16" t="s">
        <v>941</v>
      </c>
      <c r="I185" s="36" t="s">
        <v>601</v>
      </c>
      <c r="J185" s="36" t="s">
        <v>1246</v>
      </c>
      <c r="K185" s="16" t="s">
        <v>416</v>
      </c>
      <c r="L185" s="17" t="s">
        <v>852</v>
      </c>
      <c r="M185" s="48" t="s">
        <v>639</v>
      </c>
      <c r="N185" s="48" t="s">
        <v>639</v>
      </c>
      <c r="O185" s="18" t="s">
        <v>886</v>
      </c>
      <c r="P185" s="18" t="s">
        <v>1060</v>
      </c>
      <c r="Q185" s="18" t="s">
        <v>888</v>
      </c>
      <c r="R185" s="40">
        <v>45923</v>
      </c>
      <c r="S185" s="19"/>
    </row>
    <row r="186" spans="1:19" ht="43.2" x14ac:dyDescent="0.3">
      <c r="A186" s="14">
        <v>184</v>
      </c>
      <c r="B186" s="15" t="s">
        <v>417</v>
      </c>
      <c r="C186" s="15" t="s">
        <v>885</v>
      </c>
      <c r="D186" s="15" t="s">
        <v>18</v>
      </c>
      <c r="E186" s="15" t="s">
        <v>691</v>
      </c>
      <c r="F186" s="15" t="s">
        <v>54</v>
      </c>
      <c r="G186" s="16" t="s">
        <v>647</v>
      </c>
      <c r="H186" s="45">
        <v>45411</v>
      </c>
      <c r="I186" s="36" t="s">
        <v>499</v>
      </c>
      <c r="J186" s="36" t="s">
        <v>1248</v>
      </c>
      <c r="K186" s="16" t="s">
        <v>418</v>
      </c>
      <c r="L186" s="17" t="s">
        <v>1097</v>
      </c>
      <c r="M186" s="17" t="s">
        <v>1140</v>
      </c>
      <c r="N186" s="17" t="s">
        <v>1226</v>
      </c>
      <c r="O186" s="18" t="s">
        <v>1152</v>
      </c>
      <c r="P186" s="43" t="s">
        <v>1061</v>
      </c>
      <c r="Q186" s="18" t="s">
        <v>888</v>
      </c>
      <c r="R186" s="40">
        <v>45923</v>
      </c>
      <c r="S186" s="19"/>
    </row>
    <row r="187" spans="1:19" ht="43.2" x14ac:dyDescent="0.3">
      <c r="A187" s="14">
        <v>185</v>
      </c>
      <c r="B187" s="15" t="s">
        <v>419</v>
      </c>
      <c r="C187" s="15" t="s">
        <v>885</v>
      </c>
      <c r="D187" s="15" t="s">
        <v>18</v>
      </c>
      <c r="E187" s="15" t="s">
        <v>494</v>
      </c>
      <c r="F187" s="15" t="s">
        <v>54</v>
      </c>
      <c r="G187" s="16" t="s">
        <v>789</v>
      </c>
      <c r="H187" s="16" t="s">
        <v>941</v>
      </c>
      <c r="I187" s="36" t="s">
        <v>564</v>
      </c>
      <c r="J187" s="36" t="s">
        <v>1249</v>
      </c>
      <c r="K187" s="16" t="s">
        <v>420</v>
      </c>
      <c r="L187" s="17" t="s">
        <v>852</v>
      </c>
      <c r="M187" s="48" t="s">
        <v>639</v>
      </c>
      <c r="N187" s="48" t="s">
        <v>639</v>
      </c>
      <c r="O187" s="18" t="s">
        <v>886</v>
      </c>
      <c r="P187" s="18" t="s">
        <v>1062</v>
      </c>
      <c r="Q187" s="18" t="s">
        <v>888</v>
      </c>
      <c r="R187" s="40">
        <v>45923</v>
      </c>
      <c r="S187" s="19"/>
    </row>
    <row r="188" spans="1:19" ht="57.6" x14ac:dyDescent="0.3">
      <c r="A188" s="14">
        <v>186</v>
      </c>
      <c r="B188" s="15" t="s">
        <v>421</v>
      </c>
      <c r="C188" s="15" t="s">
        <v>885</v>
      </c>
      <c r="D188" s="15" t="s">
        <v>18</v>
      </c>
      <c r="E188" s="15" t="s">
        <v>623</v>
      </c>
      <c r="F188" s="15" t="s">
        <v>17</v>
      </c>
      <c r="G188" s="16" t="s">
        <v>790</v>
      </c>
      <c r="H188" s="16" t="s">
        <v>941</v>
      </c>
      <c r="I188" s="36" t="s">
        <v>497</v>
      </c>
      <c r="J188" s="36" t="s">
        <v>1241</v>
      </c>
      <c r="K188" s="16" t="s">
        <v>422</v>
      </c>
      <c r="L188" s="17" t="s">
        <v>852</v>
      </c>
      <c r="M188" s="48" t="s">
        <v>639</v>
      </c>
      <c r="N188" s="48" t="s">
        <v>639</v>
      </c>
      <c r="O188" s="18" t="s">
        <v>886</v>
      </c>
      <c r="P188" s="18" t="s">
        <v>1063</v>
      </c>
      <c r="Q188" s="18" t="s">
        <v>888</v>
      </c>
      <c r="R188" s="40">
        <v>45923</v>
      </c>
      <c r="S188" s="19"/>
    </row>
    <row r="189" spans="1:19" ht="28.8" x14ac:dyDescent="0.3">
      <c r="A189" s="14">
        <v>187</v>
      </c>
      <c r="B189" s="15" t="s">
        <v>423</v>
      </c>
      <c r="C189" s="15" t="s">
        <v>885</v>
      </c>
      <c r="D189" s="15" t="s">
        <v>18</v>
      </c>
      <c r="E189" s="15" t="s">
        <v>627</v>
      </c>
      <c r="F189" s="15" t="s">
        <v>27</v>
      </c>
      <c r="G189" s="16" t="s">
        <v>791</v>
      </c>
      <c r="H189" s="16" t="s">
        <v>941</v>
      </c>
      <c r="I189" s="36" t="s">
        <v>565</v>
      </c>
      <c r="J189" s="36" t="s">
        <v>1248</v>
      </c>
      <c r="K189" s="16" t="s">
        <v>424</v>
      </c>
      <c r="L189" s="17" t="s">
        <v>852</v>
      </c>
      <c r="M189" s="48" t="s">
        <v>639</v>
      </c>
      <c r="N189" s="48" t="s">
        <v>639</v>
      </c>
      <c r="O189" s="18" t="s">
        <v>886</v>
      </c>
      <c r="P189" s="18" t="s">
        <v>1064</v>
      </c>
      <c r="Q189" s="18" t="s">
        <v>888</v>
      </c>
      <c r="R189" s="40">
        <v>45923</v>
      </c>
      <c r="S189" s="19"/>
    </row>
    <row r="190" spans="1:19" ht="28.8" x14ac:dyDescent="0.3">
      <c r="A190" s="14">
        <v>188</v>
      </c>
      <c r="B190" s="15" t="s">
        <v>425</v>
      </c>
      <c r="C190" s="15" t="s">
        <v>885</v>
      </c>
      <c r="D190" s="15" t="s">
        <v>18</v>
      </c>
      <c r="E190" s="15" t="s">
        <v>624</v>
      </c>
      <c r="F190" s="15" t="s">
        <v>27</v>
      </c>
      <c r="G190" s="16" t="s">
        <v>792</v>
      </c>
      <c r="H190" s="16" t="s">
        <v>941</v>
      </c>
      <c r="I190" s="36" t="s">
        <v>497</v>
      </c>
      <c r="J190" s="36" t="s">
        <v>1241</v>
      </c>
      <c r="K190" s="16" t="s">
        <v>426</v>
      </c>
      <c r="L190" s="17" t="s">
        <v>852</v>
      </c>
      <c r="M190" s="48" t="s">
        <v>639</v>
      </c>
      <c r="N190" s="48" t="s">
        <v>639</v>
      </c>
      <c r="O190" s="18" t="s">
        <v>886</v>
      </c>
      <c r="P190" s="18" t="s">
        <v>1065</v>
      </c>
      <c r="Q190" s="18" t="s">
        <v>888</v>
      </c>
      <c r="R190" s="40">
        <v>45923</v>
      </c>
      <c r="S190" s="19"/>
    </row>
    <row r="191" spans="1:19" ht="28.8" x14ac:dyDescent="0.3">
      <c r="A191" s="14">
        <v>189</v>
      </c>
      <c r="B191" s="15" t="s">
        <v>427</v>
      </c>
      <c r="C191" s="15" t="s">
        <v>885</v>
      </c>
      <c r="D191" s="15" t="s">
        <v>18</v>
      </c>
      <c r="E191" s="15" t="s">
        <v>620</v>
      </c>
      <c r="F191" s="15" t="s">
        <v>75</v>
      </c>
      <c r="G191" s="16" t="s">
        <v>793</v>
      </c>
      <c r="H191" s="16" t="s">
        <v>941</v>
      </c>
      <c r="I191" s="36" t="s">
        <v>602</v>
      </c>
      <c r="J191" s="36" t="s">
        <v>1245</v>
      </c>
      <c r="K191" s="16" t="s">
        <v>428</v>
      </c>
      <c r="L191" s="17" t="s">
        <v>852</v>
      </c>
      <c r="M191" s="48" t="s">
        <v>639</v>
      </c>
      <c r="N191" s="48" t="s">
        <v>639</v>
      </c>
      <c r="O191" s="18" t="s">
        <v>886</v>
      </c>
      <c r="P191" s="18" t="s">
        <v>1066</v>
      </c>
      <c r="Q191" s="18" t="s">
        <v>888</v>
      </c>
      <c r="R191" s="40">
        <v>45923</v>
      </c>
      <c r="S191" s="19"/>
    </row>
    <row r="192" spans="1:19" ht="43.2" x14ac:dyDescent="0.3">
      <c r="A192" s="14">
        <v>190</v>
      </c>
      <c r="B192" s="15" t="s">
        <v>429</v>
      </c>
      <c r="C192" s="15" t="s">
        <v>885</v>
      </c>
      <c r="D192" s="15" t="s">
        <v>28</v>
      </c>
      <c r="E192" s="15" t="s">
        <v>795</v>
      </c>
      <c r="F192" s="15" t="s">
        <v>65</v>
      </c>
      <c r="G192" s="16" t="s">
        <v>794</v>
      </c>
      <c r="H192" s="16" t="s">
        <v>941</v>
      </c>
      <c r="I192" s="36" t="s">
        <v>603</v>
      </c>
      <c r="J192" s="36" t="s">
        <v>1244</v>
      </c>
      <c r="K192" s="16" t="s">
        <v>430</v>
      </c>
      <c r="L192" s="17" t="s">
        <v>852</v>
      </c>
      <c r="M192" s="48" t="s">
        <v>639</v>
      </c>
      <c r="N192" s="48" t="s">
        <v>639</v>
      </c>
      <c r="O192" s="18" t="s">
        <v>886</v>
      </c>
      <c r="P192" s="18" t="s">
        <v>1067</v>
      </c>
      <c r="Q192" s="18" t="s">
        <v>888</v>
      </c>
      <c r="R192" s="40">
        <v>45923</v>
      </c>
      <c r="S192" s="19"/>
    </row>
    <row r="193" spans="1:19" ht="72" x14ac:dyDescent="0.3">
      <c r="A193" s="14">
        <v>191</v>
      </c>
      <c r="B193" s="15" t="s">
        <v>431</v>
      </c>
      <c r="C193" s="15" t="s">
        <v>885</v>
      </c>
      <c r="D193" s="15" t="s">
        <v>28</v>
      </c>
      <c r="E193" s="15" t="s">
        <v>635</v>
      </c>
      <c r="F193" s="15" t="s">
        <v>75</v>
      </c>
      <c r="G193" s="16" t="s">
        <v>796</v>
      </c>
      <c r="H193" s="45">
        <v>45375</v>
      </c>
      <c r="I193" s="36" t="s">
        <v>499</v>
      </c>
      <c r="J193" s="36" t="s">
        <v>1248</v>
      </c>
      <c r="K193" s="16" t="s">
        <v>432</v>
      </c>
      <c r="L193" s="17" t="s">
        <v>1097</v>
      </c>
      <c r="M193" s="17" t="s">
        <v>1142</v>
      </c>
      <c r="N193" s="17" t="s">
        <v>1226</v>
      </c>
      <c r="O193" s="18" t="s">
        <v>1152</v>
      </c>
      <c r="P193" s="43" t="s">
        <v>1068</v>
      </c>
      <c r="Q193" s="18" t="s">
        <v>888</v>
      </c>
      <c r="R193" s="40">
        <v>45923</v>
      </c>
      <c r="S193" s="19"/>
    </row>
    <row r="194" spans="1:19" ht="43.2" x14ac:dyDescent="0.3">
      <c r="A194" s="14">
        <v>192</v>
      </c>
      <c r="B194" s="15" t="s">
        <v>433</v>
      </c>
      <c r="C194" s="15" t="s">
        <v>885</v>
      </c>
      <c r="D194" s="15" t="s">
        <v>18</v>
      </c>
      <c r="E194" s="15" t="s">
        <v>494</v>
      </c>
      <c r="F194" s="15" t="s">
        <v>95</v>
      </c>
      <c r="G194" s="16" t="s">
        <v>797</v>
      </c>
      <c r="H194" s="16" t="s">
        <v>941</v>
      </c>
      <c r="I194" s="36" t="s">
        <v>604</v>
      </c>
      <c r="J194" s="36" t="s">
        <v>1248</v>
      </c>
      <c r="K194" s="16" t="s">
        <v>434</v>
      </c>
      <c r="L194" s="17" t="s">
        <v>852</v>
      </c>
      <c r="M194" s="48" t="s">
        <v>639</v>
      </c>
      <c r="N194" s="48" t="s">
        <v>639</v>
      </c>
      <c r="O194" s="18" t="s">
        <v>886</v>
      </c>
      <c r="P194" s="18" t="s">
        <v>1069</v>
      </c>
      <c r="Q194" s="18" t="s">
        <v>888</v>
      </c>
      <c r="R194" s="40">
        <v>45923</v>
      </c>
      <c r="S194" s="19"/>
    </row>
    <row r="195" spans="1:19" ht="28.8" x14ac:dyDescent="0.3">
      <c r="A195" s="14">
        <v>193</v>
      </c>
      <c r="B195" s="15" t="s">
        <v>435</v>
      </c>
      <c r="C195" s="15" t="s">
        <v>885</v>
      </c>
      <c r="D195" s="15" t="s">
        <v>18</v>
      </c>
      <c r="E195" s="15" t="s">
        <v>624</v>
      </c>
      <c r="F195" s="15" t="s">
        <v>27</v>
      </c>
      <c r="G195" s="16" t="s">
        <v>798</v>
      </c>
      <c r="H195" s="16" t="s">
        <v>941</v>
      </c>
      <c r="I195" s="36" t="s">
        <v>531</v>
      </c>
      <c r="J195" s="36" t="s">
        <v>619</v>
      </c>
      <c r="K195" s="16" t="s">
        <v>436</v>
      </c>
      <c r="L195" s="17" t="s">
        <v>852</v>
      </c>
      <c r="M195" s="48" t="s">
        <v>639</v>
      </c>
      <c r="N195" s="48" t="s">
        <v>639</v>
      </c>
      <c r="O195" s="18" t="s">
        <v>886</v>
      </c>
      <c r="P195" s="18" t="s">
        <v>1070</v>
      </c>
      <c r="Q195" s="18" t="s">
        <v>888</v>
      </c>
      <c r="R195" s="40">
        <v>45923</v>
      </c>
      <c r="S195" s="19"/>
    </row>
    <row r="196" spans="1:19" ht="28.8" x14ac:dyDescent="0.3">
      <c r="A196" s="14">
        <v>194</v>
      </c>
      <c r="B196" s="15" t="s">
        <v>437</v>
      </c>
      <c r="C196" s="15" t="s">
        <v>885</v>
      </c>
      <c r="D196" s="15" t="s">
        <v>28</v>
      </c>
      <c r="E196" s="15" t="s">
        <v>635</v>
      </c>
      <c r="F196" s="15" t="s">
        <v>78</v>
      </c>
      <c r="G196" s="16" t="s">
        <v>718</v>
      </c>
      <c r="H196" s="16" t="s">
        <v>941</v>
      </c>
      <c r="I196" s="36" t="s">
        <v>605</v>
      </c>
      <c r="J196" s="36" t="s">
        <v>619</v>
      </c>
      <c r="K196" s="16" t="s">
        <v>438</v>
      </c>
      <c r="L196" s="17" t="s">
        <v>852</v>
      </c>
      <c r="M196" s="48" t="s">
        <v>639</v>
      </c>
      <c r="N196" s="48" t="s">
        <v>639</v>
      </c>
      <c r="O196" s="18" t="s">
        <v>886</v>
      </c>
      <c r="P196" s="18" t="s">
        <v>1071</v>
      </c>
      <c r="Q196" s="18" t="s">
        <v>888</v>
      </c>
      <c r="R196" s="40">
        <v>45923</v>
      </c>
      <c r="S196" s="19"/>
    </row>
    <row r="197" spans="1:19" ht="43.2" x14ac:dyDescent="0.3">
      <c r="A197" s="14">
        <v>195</v>
      </c>
      <c r="B197" s="15" t="s">
        <v>439</v>
      </c>
      <c r="C197" s="15" t="s">
        <v>885</v>
      </c>
      <c r="D197" s="15" t="s">
        <v>18</v>
      </c>
      <c r="E197" s="15" t="s">
        <v>494</v>
      </c>
      <c r="F197" s="15" t="s">
        <v>181</v>
      </c>
      <c r="G197" s="16" t="s">
        <v>799</v>
      </c>
      <c r="H197" s="16" t="s">
        <v>941</v>
      </c>
      <c r="I197" s="36" t="s">
        <v>606</v>
      </c>
      <c r="J197" s="36" t="s">
        <v>619</v>
      </c>
      <c r="K197" s="16" t="s">
        <v>440</v>
      </c>
      <c r="L197" s="17" t="s">
        <v>852</v>
      </c>
      <c r="M197" s="48" t="s">
        <v>639</v>
      </c>
      <c r="N197" s="48" t="s">
        <v>639</v>
      </c>
      <c r="O197" s="18" t="s">
        <v>886</v>
      </c>
      <c r="P197" s="18" t="s">
        <v>1072</v>
      </c>
      <c r="Q197" s="18" t="s">
        <v>888</v>
      </c>
      <c r="R197" s="40">
        <v>45923</v>
      </c>
      <c r="S197" s="19"/>
    </row>
    <row r="198" spans="1:19" ht="28.8" x14ac:dyDescent="0.3">
      <c r="A198" s="14">
        <v>196</v>
      </c>
      <c r="B198" s="15" t="s">
        <v>441</v>
      </c>
      <c r="C198" s="15" t="s">
        <v>885</v>
      </c>
      <c r="D198" s="15" t="s">
        <v>18</v>
      </c>
      <c r="E198" s="15" t="s">
        <v>494</v>
      </c>
      <c r="F198" s="15" t="s">
        <v>17</v>
      </c>
      <c r="G198" s="16" t="s">
        <v>800</v>
      </c>
      <c r="H198" s="16" t="s">
        <v>941</v>
      </c>
      <c r="I198" s="36" t="s">
        <v>607</v>
      </c>
      <c r="J198" s="36" t="s">
        <v>619</v>
      </c>
      <c r="K198" s="16" t="s">
        <v>442</v>
      </c>
      <c r="L198" s="17" t="s">
        <v>852</v>
      </c>
      <c r="M198" s="48" t="s">
        <v>639</v>
      </c>
      <c r="N198" s="48" t="s">
        <v>639</v>
      </c>
      <c r="O198" s="18" t="s">
        <v>886</v>
      </c>
      <c r="P198" s="18" t="s">
        <v>1073</v>
      </c>
      <c r="Q198" s="18" t="s">
        <v>888</v>
      </c>
      <c r="R198" s="40">
        <v>45923</v>
      </c>
      <c r="S198" s="19"/>
    </row>
    <row r="199" spans="1:19" ht="28.8" x14ac:dyDescent="0.3">
      <c r="A199" s="14">
        <v>197</v>
      </c>
      <c r="B199" s="15" t="s">
        <v>443</v>
      </c>
      <c r="C199" s="15" t="s">
        <v>885</v>
      </c>
      <c r="D199" s="15" t="s">
        <v>18</v>
      </c>
      <c r="E199" s="15" t="s">
        <v>684</v>
      </c>
      <c r="F199" s="15" t="s">
        <v>27</v>
      </c>
      <c r="G199" s="16" t="s">
        <v>801</v>
      </c>
      <c r="H199" s="16" t="s">
        <v>941</v>
      </c>
      <c r="I199" s="36" t="s">
        <v>608</v>
      </c>
      <c r="J199" s="36" t="s">
        <v>1248</v>
      </c>
      <c r="K199" s="16" t="s">
        <v>444</v>
      </c>
      <c r="L199" s="17" t="s">
        <v>852</v>
      </c>
      <c r="M199" s="48" t="s">
        <v>639</v>
      </c>
      <c r="N199" s="48" t="s">
        <v>639</v>
      </c>
      <c r="O199" s="18" t="s">
        <v>886</v>
      </c>
      <c r="P199" s="18" t="s">
        <v>1074</v>
      </c>
      <c r="Q199" s="18" t="s">
        <v>888</v>
      </c>
      <c r="R199" s="40">
        <v>45923</v>
      </c>
      <c r="S199" s="19"/>
    </row>
    <row r="200" spans="1:19" ht="43.2" x14ac:dyDescent="0.3">
      <c r="A200" s="14">
        <v>198</v>
      </c>
      <c r="B200" s="15" t="s">
        <v>445</v>
      </c>
      <c r="C200" s="15" t="s">
        <v>885</v>
      </c>
      <c r="D200" s="15" t="s">
        <v>18</v>
      </c>
      <c r="E200" s="15" t="s">
        <v>494</v>
      </c>
      <c r="F200" s="15" t="s">
        <v>17</v>
      </c>
      <c r="G200" s="16" t="s">
        <v>802</v>
      </c>
      <c r="H200" s="16" t="s">
        <v>941</v>
      </c>
      <c r="I200" s="36" t="s">
        <v>609</v>
      </c>
      <c r="J200" s="36" t="s">
        <v>619</v>
      </c>
      <c r="K200" s="16" t="s">
        <v>446</v>
      </c>
      <c r="L200" s="17" t="s">
        <v>852</v>
      </c>
      <c r="M200" s="48" t="s">
        <v>639</v>
      </c>
      <c r="N200" s="48" t="s">
        <v>639</v>
      </c>
      <c r="O200" s="18" t="s">
        <v>886</v>
      </c>
      <c r="P200" s="18" t="s">
        <v>1075</v>
      </c>
      <c r="Q200" s="18" t="s">
        <v>888</v>
      </c>
      <c r="R200" s="40">
        <v>45923</v>
      </c>
      <c r="S200" s="19"/>
    </row>
    <row r="201" spans="1:19" ht="28.8" x14ac:dyDescent="0.3">
      <c r="A201" s="14">
        <v>199</v>
      </c>
      <c r="B201" s="15" t="s">
        <v>447</v>
      </c>
      <c r="C201" s="15" t="s">
        <v>885</v>
      </c>
      <c r="D201" s="15" t="s">
        <v>18</v>
      </c>
      <c r="E201" s="15" t="s">
        <v>494</v>
      </c>
      <c r="F201" s="15" t="s">
        <v>54</v>
      </c>
      <c r="G201" s="16" t="s">
        <v>803</v>
      </c>
      <c r="H201" s="45">
        <v>45533</v>
      </c>
      <c r="I201" s="36" t="s">
        <v>610</v>
      </c>
      <c r="J201" s="36" t="s">
        <v>619</v>
      </c>
      <c r="K201" s="16" t="s">
        <v>448</v>
      </c>
      <c r="L201" s="17" t="s">
        <v>1097</v>
      </c>
      <c r="M201" s="17" t="s">
        <v>1140</v>
      </c>
      <c r="N201" s="17" t="s">
        <v>1226</v>
      </c>
      <c r="O201" s="18" t="s">
        <v>1152</v>
      </c>
      <c r="P201" s="43" t="s">
        <v>1162</v>
      </c>
      <c r="Q201" s="18" t="s">
        <v>888</v>
      </c>
      <c r="R201" s="40">
        <v>45919</v>
      </c>
      <c r="S201" s="19" t="s">
        <v>1096</v>
      </c>
    </row>
    <row r="202" spans="1:19" ht="43.2" x14ac:dyDescent="0.3">
      <c r="A202" s="14">
        <v>200</v>
      </c>
      <c r="B202" s="15" t="s">
        <v>449</v>
      </c>
      <c r="C202" s="15" t="s">
        <v>885</v>
      </c>
      <c r="D202" s="15" t="s">
        <v>28</v>
      </c>
      <c r="E202" s="15" t="s">
        <v>487</v>
      </c>
      <c r="F202" s="15" t="s">
        <v>450</v>
      </c>
      <c r="G202" s="16" t="s">
        <v>804</v>
      </c>
      <c r="H202" s="16" t="s">
        <v>941</v>
      </c>
      <c r="I202" s="36" t="s">
        <v>559</v>
      </c>
      <c r="J202" s="36" t="s">
        <v>619</v>
      </c>
      <c r="K202" s="16" t="s">
        <v>451</v>
      </c>
      <c r="L202" s="17" t="s">
        <v>852</v>
      </c>
      <c r="M202" s="48" t="s">
        <v>639</v>
      </c>
      <c r="N202" s="48" t="s">
        <v>639</v>
      </c>
      <c r="O202" s="18" t="s">
        <v>886</v>
      </c>
      <c r="P202" s="18" t="s">
        <v>1076</v>
      </c>
      <c r="Q202" s="18" t="s">
        <v>888</v>
      </c>
      <c r="R202" s="40">
        <v>45923</v>
      </c>
      <c r="S202" s="19"/>
    </row>
    <row r="203" spans="1:19" ht="43.2" x14ac:dyDescent="0.3">
      <c r="A203" s="14">
        <v>201</v>
      </c>
      <c r="B203" s="15" t="s">
        <v>452</v>
      </c>
      <c r="C203" s="15" t="s">
        <v>885</v>
      </c>
      <c r="D203" s="15" t="s">
        <v>18</v>
      </c>
      <c r="E203" s="15" t="s">
        <v>620</v>
      </c>
      <c r="F203" s="15" t="s">
        <v>54</v>
      </c>
      <c r="G203" s="16" t="s">
        <v>805</v>
      </c>
      <c r="H203" s="16" t="s">
        <v>941</v>
      </c>
      <c r="I203" s="36" t="s">
        <v>611</v>
      </c>
      <c r="J203" s="36" t="s">
        <v>619</v>
      </c>
      <c r="K203" s="16" t="s">
        <v>453</v>
      </c>
      <c r="L203" s="17" t="s">
        <v>852</v>
      </c>
      <c r="M203" s="48" t="s">
        <v>639</v>
      </c>
      <c r="N203" s="48" t="s">
        <v>639</v>
      </c>
      <c r="O203" s="18" t="s">
        <v>886</v>
      </c>
      <c r="P203" s="18" t="s">
        <v>1077</v>
      </c>
      <c r="Q203" s="18" t="s">
        <v>888</v>
      </c>
      <c r="R203" s="40">
        <v>45923</v>
      </c>
      <c r="S203" s="19"/>
    </row>
    <row r="204" spans="1:19" ht="43.2" x14ac:dyDescent="0.3">
      <c r="A204" s="14">
        <v>202</v>
      </c>
      <c r="B204" s="15" t="s">
        <v>454</v>
      </c>
      <c r="C204" s="15" t="s">
        <v>885</v>
      </c>
      <c r="D204" s="15" t="s">
        <v>18</v>
      </c>
      <c r="E204" s="15" t="s">
        <v>627</v>
      </c>
      <c r="F204" s="15" t="s">
        <v>238</v>
      </c>
      <c r="G204" s="16" t="s">
        <v>806</v>
      </c>
      <c r="H204" s="16" t="s">
        <v>941</v>
      </c>
      <c r="I204" s="36" t="s">
        <v>496</v>
      </c>
      <c r="J204" s="36" t="s">
        <v>1246</v>
      </c>
      <c r="K204" s="16" t="s">
        <v>455</v>
      </c>
      <c r="L204" s="17" t="s">
        <v>852</v>
      </c>
      <c r="M204" s="48" t="s">
        <v>639</v>
      </c>
      <c r="N204" s="48" t="s">
        <v>639</v>
      </c>
      <c r="O204" s="18" t="s">
        <v>886</v>
      </c>
      <c r="P204" s="18" t="s">
        <v>1078</v>
      </c>
      <c r="Q204" s="18" t="s">
        <v>888</v>
      </c>
      <c r="R204" s="40">
        <v>45923</v>
      </c>
      <c r="S204" s="19"/>
    </row>
    <row r="205" spans="1:19" ht="43.2" x14ac:dyDescent="0.3">
      <c r="A205" s="14">
        <v>203</v>
      </c>
      <c r="B205" s="15" t="s">
        <v>456</v>
      </c>
      <c r="C205" s="15" t="s">
        <v>885</v>
      </c>
      <c r="D205" s="15" t="s">
        <v>18</v>
      </c>
      <c r="E205" s="15" t="s">
        <v>494</v>
      </c>
      <c r="F205" s="15" t="s">
        <v>24</v>
      </c>
      <c r="G205" s="16" t="s">
        <v>807</v>
      </c>
      <c r="H205" s="16" t="s">
        <v>941</v>
      </c>
      <c r="I205" s="36" t="s">
        <v>504</v>
      </c>
      <c r="J205" s="36" t="s">
        <v>1248</v>
      </c>
      <c r="K205" s="16" t="s">
        <v>457</v>
      </c>
      <c r="L205" s="17" t="s">
        <v>852</v>
      </c>
      <c r="M205" s="48" t="s">
        <v>639</v>
      </c>
      <c r="N205" s="48" t="s">
        <v>639</v>
      </c>
      <c r="O205" s="18" t="s">
        <v>886</v>
      </c>
      <c r="P205" s="18" t="s">
        <v>1079</v>
      </c>
      <c r="Q205" s="18" t="s">
        <v>888</v>
      </c>
      <c r="R205" s="40">
        <v>45923</v>
      </c>
      <c r="S205" s="19"/>
    </row>
    <row r="206" spans="1:19" ht="43.2" x14ac:dyDescent="0.3">
      <c r="A206" s="14">
        <v>204</v>
      </c>
      <c r="B206" s="15" t="s">
        <v>458</v>
      </c>
      <c r="C206" s="15" t="s">
        <v>1100</v>
      </c>
      <c r="D206" s="15" t="s">
        <v>18</v>
      </c>
      <c r="E206" s="15" t="s">
        <v>659</v>
      </c>
      <c r="F206" s="15" t="s">
        <v>54</v>
      </c>
      <c r="G206" s="16" t="s">
        <v>808</v>
      </c>
      <c r="H206" s="16" t="s">
        <v>941</v>
      </c>
      <c r="I206" s="36" t="s">
        <v>612</v>
      </c>
      <c r="J206" s="36" t="s">
        <v>1241</v>
      </c>
      <c r="K206" s="16" t="s">
        <v>459</v>
      </c>
      <c r="L206" s="17" t="s">
        <v>852</v>
      </c>
      <c r="M206" s="48" t="s">
        <v>639</v>
      </c>
      <c r="N206" s="48" t="s">
        <v>639</v>
      </c>
      <c r="O206" s="18"/>
      <c r="P206" s="18" t="s">
        <v>1080</v>
      </c>
      <c r="Q206" s="18" t="s">
        <v>888</v>
      </c>
      <c r="R206" s="40">
        <v>45923</v>
      </c>
      <c r="S206" s="19"/>
    </row>
    <row r="207" spans="1:19" x14ac:dyDescent="0.3">
      <c r="A207" s="14">
        <v>205</v>
      </c>
      <c r="B207" s="15" t="s">
        <v>460</v>
      </c>
      <c r="C207" s="15" t="s">
        <v>885</v>
      </c>
      <c r="D207" s="15" t="s">
        <v>18</v>
      </c>
      <c r="E207" s="15" t="s">
        <v>494</v>
      </c>
      <c r="F207" s="15" t="s">
        <v>47</v>
      </c>
      <c r="G207" s="16" t="s">
        <v>809</v>
      </c>
      <c r="H207" s="16" t="s">
        <v>941</v>
      </c>
      <c r="I207" s="36" t="s">
        <v>613</v>
      </c>
      <c r="J207" s="36" t="s">
        <v>1243</v>
      </c>
      <c r="K207" s="16" t="s">
        <v>461</v>
      </c>
      <c r="L207" s="17" t="s">
        <v>852</v>
      </c>
      <c r="M207" s="48" t="s">
        <v>639</v>
      </c>
      <c r="N207" s="48" t="s">
        <v>639</v>
      </c>
      <c r="O207" s="18" t="s">
        <v>886</v>
      </c>
      <c r="P207" s="18" t="s">
        <v>1081</v>
      </c>
      <c r="Q207" s="18" t="s">
        <v>888</v>
      </c>
      <c r="R207" s="40">
        <v>45923</v>
      </c>
      <c r="S207" s="19"/>
    </row>
    <row r="208" spans="1:19" ht="57.6" x14ac:dyDescent="0.3">
      <c r="A208" s="14">
        <v>206</v>
      </c>
      <c r="B208" s="15" t="s">
        <v>462</v>
      </c>
      <c r="C208" s="15" t="s">
        <v>1100</v>
      </c>
      <c r="D208" s="15" t="s">
        <v>18</v>
      </c>
      <c r="E208" s="15" t="s">
        <v>623</v>
      </c>
      <c r="F208" s="15" t="s">
        <v>27</v>
      </c>
      <c r="G208" s="16" t="s">
        <v>810</v>
      </c>
      <c r="H208" s="16" t="s">
        <v>941</v>
      </c>
      <c r="I208" s="36" t="s">
        <v>497</v>
      </c>
      <c r="J208" s="36" t="s">
        <v>1241</v>
      </c>
      <c r="K208" s="16" t="s">
        <v>463</v>
      </c>
      <c r="L208" s="17" t="s">
        <v>852</v>
      </c>
      <c r="M208" s="48" t="s">
        <v>639</v>
      </c>
      <c r="N208" s="48" t="s">
        <v>639</v>
      </c>
      <c r="O208" s="18" t="s">
        <v>886</v>
      </c>
      <c r="P208" s="18" t="s">
        <v>1082</v>
      </c>
      <c r="Q208" s="18" t="s">
        <v>888</v>
      </c>
      <c r="R208" s="40">
        <v>45923</v>
      </c>
      <c r="S208" s="19"/>
    </row>
    <row r="209" spans="1:19" x14ac:dyDescent="0.3">
      <c r="A209" s="14">
        <v>207</v>
      </c>
      <c r="B209" s="15" t="s">
        <v>464</v>
      </c>
      <c r="C209" s="15" t="s">
        <v>885</v>
      </c>
      <c r="D209" s="15" t="s">
        <v>28</v>
      </c>
      <c r="E209" s="15" t="s">
        <v>735</v>
      </c>
      <c r="F209" s="15" t="s">
        <v>34</v>
      </c>
      <c r="G209" s="16" t="s">
        <v>677</v>
      </c>
      <c r="H209" s="16" t="s">
        <v>941</v>
      </c>
      <c r="I209" s="36" t="s">
        <v>614</v>
      </c>
      <c r="J209" s="36" t="s">
        <v>1244</v>
      </c>
      <c r="K209" s="16" t="s">
        <v>465</v>
      </c>
      <c r="L209" s="17" t="s">
        <v>852</v>
      </c>
      <c r="M209" s="48" t="s">
        <v>639</v>
      </c>
      <c r="N209" s="48" t="s">
        <v>639</v>
      </c>
      <c r="O209" s="18" t="s">
        <v>886</v>
      </c>
      <c r="P209" s="18" t="s">
        <v>1083</v>
      </c>
      <c r="Q209" s="18" t="s">
        <v>868</v>
      </c>
      <c r="R209" s="40">
        <v>45923</v>
      </c>
      <c r="S209" s="19"/>
    </row>
    <row r="210" spans="1:19" ht="43.2" x14ac:dyDescent="0.3">
      <c r="A210" s="14">
        <v>208</v>
      </c>
      <c r="B210" s="15" t="s">
        <v>466</v>
      </c>
      <c r="C210" s="15" t="s">
        <v>1100</v>
      </c>
      <c r="D210" s="15" t="s">
        <v>18</v>
      </c>
      <c r="E210" s="15" t="s">
        <v>494</v>
      </c>
      <c r="F210" s="15" t="s">
        <v>214</v>
      </c>
      <c r="G210" s="16" t="s">
        <v>700</v>
      </c>
      <c r="H210" s="16" t="s">
        <v>941</v>
      </c>
      <c r="I210" s="36" t="s">
        <v>526</v>
      </c>
      <c r="J210" s="36" t="s">
        <v>1249</v>
      </c>
      <c r="K210" s="16" t="s">
        <v>467</v>
      </c>
      <c r="L210" s="17" t="s">
        <v>852</v>
      </c>
      <c r="M210" s="48" t="s">
        <v>639</v>
      </c>
      <c r="N210" s="48" t="s">
        <v>639</v>
      </c>
      <c r="O210" s="18" t="s">
        <v>886</v>
      </c>
      <c r="P210" s="18" t="s">
        <v>1084</v>
      </c>
      <c r="Q210" s="18" t="s">
        <v>888</v>
      </c>
      <c r="R210" s="40">
        <v>45923</v>
      </c>
      <c r="S210" s="19"/>
    </row>
    <row r="211" spans="1:19" ht="28.8" x14ac:dyDescent="0.3">
      <c r="A211" s="14">
        <v>209</v>
      </c>
      <c r="B211" s="15" t="s">
        <v>468</v>
      </c>
      <c r="C211" s="15" t="s">
        <v>885</v>
      </c>
      <c r="D211" s="15" t="s">
        <v>28</v>
      </c>
      <c r="E211" s="15" t="s">
        <v>735</v>
      </c>
      <c r="F211" s="15" t="s">
        <v>27</v>
      </c>
      <c r="G211" s="16" t="s">
        <v>811</v>
      </c>
      <c r="H211" s="16" t="s">
        <v>941</v>
      </c>
      <c r="I211" s="36" t="s">
        <v>615</v>
      </c>
      <c r="J211" s="36" t="s">
        <v>619</v>
      </c>
      <c r="K211" s="16" t="s">
        <v>469</v>
      </c>
      <c r="L211" s="17" t="s">
        <v>852</v>
      </c>
      <c r="M211" s="48" t="s">
        <v>639</v>
      </c>
      <c r="N211" s="48" t="s">
        <v>639</v>
      </c>
      <c r="O211" s="18" t="s">
        <v>886</v>
      </c>
      <c r="P211" s="18" t="s">
        <v>1085</v>
      </c>
      <c r="Q211" s="18" t="s">
        <v>868</v>
      </c>
      <c r="R211" s="40">
        <v>45923</v>
      </c>
      <c r="S211" s="19"/>
    </row>
    <row r="212" spans="1:19" ht="28.8" x14ac:dyDescent="0.3">
      <c r="A212" s="14">
        <v>210</v>
      </c>
      <c r="B212" s="15" t="s">
        <v>470</v>
      </c>
      <c r="C212" s="15" t="s">
        <v>885</v>
      </c>
      <c r="D212" s="15" t="s">
        <v>35</v>
      </c>
      <c r="E212" s="15" t="s">
        <v>686</v>
      </c>
      <c r="F212" s="15" t="s">
        <v>17</v>
      </c>
      <c r="G212" s="16" t="s">
        <v>812</v>
      </c>
      <c r="H212" s="16" t="s">
        <v>941</v>
      </c>
      <c r="I212" s="36" t="s">
        <v>516</v>
      </c>
      <c r="J212" s="36" t="s">
        <v>619</v>
      </c>
      <c r="K212" s="16" t="s">
        <v>471</v>
      </c>
      <c r="L212" s="17" t="s">
        <v>852</v>
      </c>
      <c r="M212" s="48" t="s">
        <v>639</v>
      </c>
      <c r="N212" s="48" t="s">
        <v>639</v>
      </c>
      <c r="O212" s="18" t="s">
        <v>886</v>
      </c>
      <c r="P212" s="18" t="s">
        <v>1086</v>
      </c>
      <c r="Q212" s="18" t="s">
        <v>888</v>
      </c>
      <c r="R212" s="40">
        <v>45923</v>
      </c>
      <c r="S212" s="19"/>
    </row>
    <row r="213" spans="1:19" ht="28.8" x14ac:dyDescent="0.3">
      <c r="A213" s="14">
        <v>211</v>
      </c>
      <c r="B213" s="15" t="s">
        <v>472</v>
      </c>
      <c r="C213" s="15" t="s">
        <v>885</v>
      </c>
      <c r="D213" s="15" t="s">
        <v>18</v>
      </c>
      <c r="E213" s="15" t="s">
        <v>659</v>
      </c>
      <c r="F213" s="15" t="s">
        <v>473</v>
      </c>
      <c r="G213" s="16" t="s">
        <v>813</v>
      </c>
      <c r="H213" s="16" t="s">
        <v>941</v>
      </c>
      <c r="I213" s="36" t="s">
        <v>616</v>
      </c>
      <c r="J213" s="36" t="s">
        <v>619</v>
      </c>
      <c r="K213" s="16" t="s">
        <v>474</v>
      </c>
      <c r="L213" s="17" t="s">
        <v>852</v>
      </c>
      <c r="M213" s="48" t="s">
        <v>639</v>
      </c>
      <c r="N213" s="48" t="s">
        <v>639</v>
      </c>
      <c r="O213" s="18" t="s">
        <v>886</v>
      </c>
      <c r="P213" s="18" t="s">
        <v>1087</v>
      </c>
      <c r="Q213" s="18" t="s">
        <v>888</v>
      </c>
      <c r="R213" s="40">
        <v>45923</v>
      </c>
      <c r="S213" s="19"/>
    </row>
    <row r="214" spans="1:19" ht="43.2" x14ac:dyDescent="0.3">
      <c r="A214" s="20">
        <v>212</v>
      </c>
      <c r="B214" s="21" t="s">
        <v>475</v>
      </c>
      <c r="C214" s="21" t="s">
        <v>1100</v>
      </c>
      <c r="D214" s="21" t="s">
        <v>18</v>
      </c>
      <c r="E214" s="21" t="s">
        <v>650</v>
      </c>
      <c r="F214" s="21" t="s">
        <v>100</v>
      </c>
      <c r="G214" s="22" t="s">
        <v>475</v>
      </c>
      <c r="H214" s="16" t="s">
        <v>941</v>
      </c>
      <c r="I214" s="37" t="s">
        <v>617</v>
      </c>
      <c r="J214" s="37" t="s">
        <v>1245</v>
      </c>
      <c r="K214" s="22" t="s">
        <v>476</v>
      </c>
      <c r="L214" s="23" t="s">
        <v>852</v>
      </c>
      <c r="M214" s="49" t="s">
        <v>639</v>
      </c>
      <c r="N214" s="48" t="s">
        <v>639</v>
      </c>
      <c r="O214" s="18" t="s">
        <v>886</v>
      </c>
      <c r="P214" s="24" t="s">
        <v>1088</v>
      </c>
      <c r="Q214" s="18" t="s">
        <v>888</v>
      </c>
      <c r="R214" s="40">
        <v>45923</v>
      </c>
      <c r="S214" s="25"/>
    </row>
    <row r="215" spans="1:19" ht="43.8" thickBot="1" x14ac:dyDescent="0.35">
      <c r="A215" s="26">
        <v>213</v>
      </c>
      <c r="B215" s="27" t="s">
        <v>477</v>
      </c>
      <c r="C215" s="27" t="s">
        <v>885</v>
      </c>
      <c r="D215" s="27" t="s">
        <v>18</v>
      </c>
      <c r="E215" s="27" t="s">
        <v>814</v>
      </c>
      <c r="F215" s="27" t="s">
        <v>27</v>
      </c>
      <c r="G215" s="28" t="s">
        <v>657</v>
      </c>
      <c r="H215" s="46">
        <v>45110</v>
      </c>
      <c r="I215" s="38" t="s">
        <v>535</v>
      </c>
      <c r="J215" s="38" t="s">
        <v>1244</v>
      </c>
      <c r="K215" s="28" t="s">
        <v>478</v>
      </c>
      <c r="L215" s="29" t="s">
        <v>1097</v>
      </c>
      <c r="M215" s="29" t="s">
        <v>1140</v>
      </c>
      <c r="N215" s="29" t="s">
        <v>1226</v>
      </c>
      <c r="O215" s="30" t="s">
        <v>1152</v>
      </c>
      <c r="P215" s="51" t="s">
        <v>1163</v>
      </c>
      <c r="Q215" s="30" t="s">
        <v>888</v>
      </c>
      <c r="R215" s="41">
        <v>45919</v>
      </c>
      <c r="S215" s="31"/>
    </row>
  </sheetData>
  <autoFilter ref="A2:S215" xr:uid="{FC0214A7-68B1-4572-9769-570ED03B11E2}"/>
  <mergeCells count="3">
    <mergeCell ref="A1:K1"/>
    <mergeCell ref="L1:N1"/>
    <mergeCell ref="O1:S1"/>
  </mergeCells>
  <hyperlinks>
    <hyperlink ref="P81" r:id="rId1" xr:uid="{596D9A02-89A6-4EDE-88CC-9A252634A3F9}"/>
  </hyperlinks>
  <pageMargins left="0.7" right="0.7" top="0.78740157499999996" bottom="0.78740157499999996" header="0.3" footer="0.3"/>
  <pageSetup paperSize="9" orientation="portrait" r:id="rId2"/>
  <ignoredErrors>
    <ignoredError sqref="I4 I5:I15 I21:I22 I25:I27 I37:I42 I76:I91 I205 I17:I18 I44:I49" numberStoredAsText="1"/>
    <ignoredError sqref="I19:I20 I23:I24 I28:I36 I50:I75 I92:I133 I134:I204 I206:I215 I16 I43" twoDigitTextYear="1" numberStoredAsText="1"/>
  </ignoredError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0B71C-60CA-470F-873B-235356615A34}">
  <dimension ref="A1:G41"/>
  <sheetViews>
    <sheetView workbookViewId="0">
      <pane ySplit="1" topLeftCell="A2" activePane="bottomLeft" state="frozen"/>
      <selection pane="bottomLeft" activeCell="A2" sqref="A2:A4"/>
    </sheetView>
  </sheetViews>
  <sheetFormatPr baseColWidth="10" defaultRowHeight="14.4" x14ac:dyDescent="0.3"/>
  <cols>
    <col min="1" max="1" width="27.109375" style="122" customWidth="1"/>
    <col min="2" max="2" width="18.33203125" style="122" customWidth="1"/>
    <col min="3" max="3" width="75.5546875" style="122" customWidth="1"/>
    <col min="4" max="4" width="28.88671875" style="125" customWidth="1"/>
    <col min="5" max="5" width="35.33203125" style="126" customWidth="1"/>
    <col min="6" max="6" width="74.88671875" style="126" bestFit="1" customWidth="1"/>
    <col min="7" max="7" width="74.88671875" style="128" bestFit="1" customWidth="1"/>
  </cols>
  <sheetData>
    <row r="1" spans="1:7" ht="15" thickBot="1" x14ac:dyDescent="0.35">
      <c r="A1" s="119" t="s">
        <v>815</v>
      </c>
      <c r="B1" s="120" t="s">
        <v>1139</v>
      </c>
      <c r="C1" s="120" t="s">
        <v>816</v>
      </c>
      <c r="D1" s="123" t="s">
        <v>1102</v>
      </c>
      <c r="E1" s="124" t="s">
        <v>8</v>
      </c>
      <c r="F1" s="124" t="s">
        <v>15</v>
      </c>
      <c r="G1" s="127" t="s">
        <v>12</v>
      </c>
    </row>
    <row r="2" spans="1:7" ht="43.2" x14ac:dyDescent="0.3">
      <c r="A2" s="129" t="s">
        <v>84</v>
      </c>
      <c r="B2" s="121" t="s">
        <v>1140</v>
      </c>
      <c r="C2" s="130" t="s">
        <v>817</v>
      </c>
      <c r="D2" s="131" t="s">
        <v>1114</v>
      </c>
      <c r="E2" s="132" t="s">
        <v>818</v>
      </c>
      <c r="F2" s="132" t="s">
        <v>819</v>
      </c>
      <c r="G2" s="133"/>
    </row>
    <row r="3" spans="1:7" ht="43.2" x14ac:dyDescent="0.3">
      <c r="A3" s="134"/>
      <c r="B3" s="135"/>
      <c r="C3" s="136" t="s">
        <v>820</v>
      </c>
      <c r="D3" s="137" t="s">
        <v>1112</v>
      </c>
      <c r="E3" s="138" t="s">
        <v>821</v>
      </c>
      <c r="F3" s="138" t="s">
        <v>822</v>
      </c>
      <c r="G3" s="139"/>
    </row>
    <row r="4" spans="1:7" ht="29.4" thickBot="1" x14ac:dyDescent="0.35">
      <c r="A4" s="140"/>
      <c r="B4" s="141"/>
      <c r="C4" s="142" t="s">
        <v>823</v>
      </c>
      <c r="D4" s="143" t="s">
        <v>1113</v>
      </c>
      <c r="E4" s="144" t="s">
        <v>824</v>
      </c>
      <c r="F4" s="144" t="s">
        <v>825</v>
      </c>
      <c r="G4" s="145"/>
    </row>
    <row r="5" spans="1:7" ht="43.8" thickBot="1" x14ac:dyDescent="0.35">
      <c r="A5" s="146" t="s">
        <v>228</v>
      </c>
      <c r="B5" s="147" t="s">
        <v>1140</v>
      </c>
      <c r="C5" s="147" t="s">
        <v>827</v>
      </c>
      <c r="D5" s="148" t="s">
        <v>1115</v>
      </c>
      <c r="E5" s="149" t="s">
        <v>821</v>
      </c>
      <c r="F5" s="149" t="s">
        <v>826</v>
      </c>
      <c r="G5" s="127"/>
    </row>
    <row r="6" spans="1:7" ht="28.8" x14ac:dyDescent="0.3">
      <c r="A6" s="129" t="s">
        <v>373</v>
      </c>
      <c r="B6" s="121" t="s">
        <v>1140</v>
      </c>
      <c r="C6" s="130" t="s">
        <v>830</v>
      </c>
      <c r="D6" s="131" t="s">
        <v>1122</v>
      </c>
      <c r="E6" s="132" t="s">
        <v>821</v>
      </c>
      <c r="F6" s="132" t="s">
        <v>831</v>
      </c>
      <c r="G6" s="150"/>
    </row>
    <row r="7" spans="1:7" ht="28.8" x14ac:dyDescent="0.3">
      <c r="A7" s="134"/>
      <c r="B7" s="135"/>
      <c r="C7" s="136" t="s">
        <v>832</v>
      </c>
      <c r="D7" s="137" t="s">
        <v>1123</v>
      </c>
      <c r="E7" s="138" t="s">
        <v>834</v>
      </c>
      <c r="F7" s="138" t="s">
        <v>833</v>
      </c>
      <c r="G7" s="151"/>
    </row>
    <row r="8" spans="1:7" ht="29.4" thickBot="1" x14ac:dyDescent="0.35">
      <c r="A8" s="140"/>
      <c r="B8" s="141"/>
      <c r="C8" s="142" t="s">
        <v>828</v>
      </c>
      <c r="D8" s="143" t="s">
        <v>1113</v>
      </c>
      <c r="E8" s="144" t="s">
        <v>824</v>
      </c>
      <c r="F8" s="144" t="s">
        <v>829</v>
      </c>
      <c r="G8" s="152"/>
    </row>
    <row r="9" spans="1:7" ht="28.8" x14ac:dyDescent="0.3">
      <c r="A9" s="129" t="s">
        <v>363</v>
      </c>
      <c r="B9" s="121" t="s">
        <v>1140</v>
      </c>
      <c r="C9" s="130" t="s">
        <v>835</v>
      </c>
      <c r="D9" s="131" t="s">
        <v>1124</v>
      </c>
      <c r="E9" s="132" t="s">
        <v>818</v>
      </c>
      <c r="F9" s="132" t="s">
        <v>836</v>
      </c>
      <c r="G9" s="133"/>
    </row>
    <row r="10" spans="1:7" ht="57.6" x14ac:dyDescent="0.3">
      <c r="A10" s="134"/>
      <c r="B10" s="135"/>
      <c r="C10" s="136" t="s">
        <v>837</v>
      </c>
      <c r="D10" s="137" t="s">
        <v>1124</v>
      </c>
      <c r="E10" s="138" t="s">
        <v>821</v>
      </c>
      <c r="F10" s="138" t="s">
        <v>838</v>
      </c>
      <c r="G10" s="139"/>
    </row>
    <row r="11" spans="1:7" ht="29.4" thickBot="1" x14ac:dyDescent="0.35">
      <c r="A11" s="140"/>
      <c r="B11" s="141"/>
      <c r="C11" s="142" t="s">
        <v>839</v>
      </c>
      <c r="D11" s="143" t="s">
        <v>1113</v>
      </c>
      <c r="E11" s="144" t="s">
        <v>824</v>
      </c>
      <c r="F11" s="144" t="s">
        <v>840</v>
      </c>
      <c r="G11" s="145"/>
    </row>
    <row r="12" spans="1:7" ht="43.2" x14ac:dyDescent="0.3">
      <c r="A12" s="129" t="s">
        <v>371</v>
      </c>
      <c r="B12" s="121" t="s">
        <v>1140</v>
      </c>
      <c r="C12" s="130" t="s">
        <v>841</v>
      </c>
      <c r="D12" s="131" t="s">
        <v>1124</v>
      </c>
      <c r="E12" s="132" t="s">
        <v>818</v>
      </c>
      <c r="F12" s="132" t="s">
        <v>842</v>
      </c>
      <c r="G12" s="133"/>
    </row>
    <row r="13" spans="1:7" ht="43.8" thickBot="1" x14ac:dyDescent="0.35">
      <c r="A13" s="140"/>
      <c r="B13" s="141"/>
      <c r="C13" s="142" t="s">
        <v>843</v>
      </c>
      <c r="D13" s="143" t="s">
        <v>1125</v>
      </c>
      <c r="E13" s="144" t="s">
        <v>821</v>
      </c>
      <c r="F13" s="144" t="s">
        <v>844</v>
      </c>
      <c r="G13" s="145"/>
    </row>
    <row r="14" spans="1:7" ht="66" customHeight="1" x14ac:dyDescent="0.3">
      <c r="A14" s="129" t="s">
        <v>477</v>
      </c>
      <c r="B14" s="121" t="s">
        <v>1140</v>
      </c>
      <c r="C14" s="130" t="s">
        <v>845</v>
      </c>
      <c r="D14" s="131" t="s">
        <v>1114</v>
      </c>
      <c r="E14" s="132" t="s">
        <v>818</v>
      </c>
      <c r="F14" s="132" t="s">
        <v>846</v>
      </c>
      <c r="G14" s="133"/>
    </row>
    <row r="15" spans="1:7" ht="29.4" thickBot="1" x14ac:dyDescent="0.35">
      <c r="A15" s="140"/>
      <c r="B15" s="141"/>
      <c r="C15" s="142" t="s">
        <v>847</v>
      </c>
      <c r="D15" s="143" t="s">
        <v>1124</v>
      </c>
      <c r="E15" s="144" t="s">
        <v>821</v>
      </c>
      <c r="F15" s="144" t="s">
        <v>848</v>
      </c>
      <c r="G15" s="145"/>
    </row>
    <row r="16" spans="1:7" ht="29.4" thickBot="1" x14ac:dyDescent="0.35">
      <c r="A16" s="146" t="s">
        <v>288</v>
      </c>
      <c r="B16" s="147" t="s">
        <v>1141</v>
      </c>
      <c r="C16" s="147" t="s">
        <v>849</v>
      </c>
      <c r="D16" s="148" t="s">
        <v>1126</v>
      </c>
      <c r="E16" s="149" t="s">
        <v>818</v>
      </c>
      <c r="F16" s="149" t="s">
        <v>850</v>
      </c>
      <c r="G16" s="127" t="s">
        <v>851</v>
      </c>
    </row>
    <row r="17" spans="1:7" ht="28.8" x14ac:dyDescent="0.3">
      <c r="A17" s="129" t="s">
        <v>235</v>
      </c>
      <c r="B17" s="121" t="s">
        <v>1140</v>
      </c>
      <c r="C17" s="130" t="s">
        <v>853</v>
      </c>
      <c r="D17" s="131" t="s">
        <v>1114</v>
      </c>
      <c r="E17" s="132" t="s">
        <v>818</v>
      </c>
      <c r="F17" s="132" t="s">
        <v>854</v>
      </c>
      <c r="G17" s="133"/>
    </row>
    <row r="18" spans="1:7" ht="29.4" thickBot="1" x14ac:dyDescent="0.35">
      <c r="A18" s="140"/>
      <c r="B18" s="141"/>
      <c r="C18" s="142" t="s">
        <v>855</v>
      </c>
      <c r="D18" s="143" t="s">
        <v>1124</v>
      </c>
      <c r="E18" s="144" t="s">
        <v>821</v>
      </c>
      <c r="F18" s="144" t="s">
        <v>856</v>
      </c>
      <c r="G18" s="145"/>
    </row>
    <row r="19" spans="1:7" ht="43.8" thickBot="1" x14ac:dyDescent="0.35">
      <c r="A19" s="146" t="s">
        <v>266</v>
      </c>
      <c r="B19" s="147" t="s">
        <v>1141</v>
      </c>
      <c r="C19" s="147" t="s">
        <v>857</v>
      </c>
      <c r="D19" s="148" t="s">
        <v>1127</v>
      </c>
      <c r="E19" s="149" t="s">
        <v>818</v>
      </c>
      <c r="F19" s="149" t="s">
        <v>858</v>
      </c>
      <c r="G19" s="127"/>
    </row>
    <row r="20" spans="1:7" ht="43.2" x14ac:dyDescent="0.3">
      <c r="A20" s="129" t="s">
        <v>447</v>
      </c>
      <c r="B20" s="121" t="s">
        <v>1140</v>
      </c>
      <c r="C20" s="130" t="s">
        <v>859</v>
      </c>
      <c r="D20" s="131" t="s">
        <v>1128</v>
      </c>
      <c r="E20" s="132" t="s">
        <v>818</v>
      </c>
      <c r="F20" s="132" t="s">
        <v>862</v>
      </c>
      <c r="G20" s="133"/>
    </row>
    <row r="21" spans="1:7" ht="43.8" thickBot="1" x14ac:dyDescent="0.35">
      <c r="A21" s="140"/>
      <c r="B21" s="141"/>
      <c r="C21" s="142" t="s">
        <v>860</v>
      </c>
      <c r="D21" s="143" t="s">
        <v>1129</v>
      </c>
      <c r="E21" s="144" t="s">
        <v>821</v>
      </c>
      <c r="F21" s="144" t="s">
        <v>861</v>
      </c>
      <c r="G21" s="145"/>
    </row>
    <row r="22" spans="1:7" ht="28.8" x14ac:dyDescent="0.3">
      <c r="A22" s="129" t="s">
        <v>67</v>
      </c>
      <c r="B22" s="121" t="s">
        <v>1144</v>
      </c>
      <c r="C22" s="130" t="s">
        <v>863</v>
      </c>
      <c r="D22" s="131" t="s">
        <v>1130</v>
      </c>
      <c r="E22" s="132" t="s">
        <v>821</v>
      </c>
      <c r="F22" s="132" t="s">
        <v>864</v>
      </c>
      <c r="G22" s="133"/>
    </row>
    <row r="23" spans="1:7" ht="15" thickBot="1" x14ac:dyDescent="0.35">
      <c r="A23" s="140"/>
      <c r="B23" s="141"/>
      <c r="C23" s="142" t="s">
        <v>866</v>
      </c>
      <c r="D23" s="143" t="s">
        <v>1131</v>
      </c>
      <c r="E23" s="144" t="s">
        <v>867</v>
      </c>
      <c r="F23" s="144" t="s">
        <v>865</v>
      </c>
      <c r="G23" s="145"/>
    </row>
    <row r="24" spans="1:7" ht="87" thickBot="1" x14ac:dyDescent="0.35">
      <c r="A24" s="146" t="s">
        <v>128</v>
      </c>
      <c r="B24" s="147" t="s">
        <v>1144</v>
      </c>
      <c r="C24" s="147" t="s">
        <v>869</v>
      </c>
      <c r="D24" s="148" t="s">
        <v>1132</v>
      </c>
      <c r="E24" s="149" t="s">
        <v>868</v>
      </c>
      <c r="F24" s="149" t="s">
        <v>1094</v>
      </c>
      <c r="G24" s="127"/>
    </row>
    <row r="25" spans="1:7" ht="43.8" thickBot="1" x14ac:dyDescent="0.35">
      <c r="A25" s="146" t="s">
        <v>154</v>
      </c>
      <c r="B25" s="147" t="s">
        <v>1141</v>
      </c>
      <c r="C25" s="147" t="s">
        <v>155</v>
      </c>
      <c r="D25" s="148" t="s">
        <v>1133</v>
      </c>
      <c r="E25" s="149" t="s">
        <v>818</v>
      </c>
      <c r="F25" s="149" t="s">
        <v>870</v>
      </c>
      <c r="G25" s="127"/>
    </row>
    <row r="26" spans="1:7" ht="43.8" thickBot="1" x14ac:dyDescent="0.35">
      <c r="A26" s="146" t="s">
        <v>156</v>
      </c>
      <c r="B26" s="147" t="s">
        <v>1141</v>
      </c>
      <c r="C26" s="147" t="s">
        <v>871</v>
      </c>
      <c r="D26" s="148" t="s">
        <v>1114</v>
      </c>
      <c r="E26" s="149" t="s">
        <v>818</v>
      </c>
      <c r="F26" s="149" t="s">
        <v>872</v>
      </c>
      <c r="G26" s="127"/>
    </row>
    <row r="27" spans="1:7" ht="58.2" thickBot="1" x14ac:dyDescent="0.35">
      <c r="A27" s="146" t="s">
        <v>172</v>
      </c>
      <c r="B27" s="147" t="s">
        <v>1141</v>
      </c>
      <c r="C27" s="147" t="s">
        <v>873</v>
      </c>
      <c r="D27" s="148" t="s">
        <v>1134</v>
      </c>
      <c r="E27" s="149" t="s">
        <v>821</v>
      </c>
      <c r="F27" s="149" t="s">
        <v>874</v>
      </c>
      <c r="G27" s="127"/>
    </row>
    <row r="28" spans="1:7" ht="43.2" x14ac:dyDescent="0.3">
      <c r="A28" s="129" t="s">
        <v>246</v>
      </c>
      <c r="B28" s="121" t="s">
        <v>1140</v>
      </c>
      <c r="C28" s="130" t="s">
        <v>875</v>
      </c>
      <c r="D28" s="131" t="s">
        <v>1135</v>
      </c>
      <c r="E28" s="132" t="s">
        <v>821</v>
      </c>
      <c r="F28" s="132" t="s">
        <v>876</v>
      </c>
      <c r="G28" s="133"/>
    </row>
    <row r="29" spans="1:7" ht="29.4" thickBot="1" x14ac:dyDescent="0.35">
      <c r="A29" s="134"/>
      <c r="B29" s="135"/>
      <c r="C29" s="136" t="s">
        <v>878</v>
      </c>
      <c r="D29" s="137" t="s">
        <v>1113</v>
      </c>
      <c r="E29" s="138" t="s">
        <v>867</v>
      </c>
      <c r="F29" s="138" t="s">
        <v>877</v>
      </c>
      <c r="G29" s="139"/>
    </row>
    <row r="30" spans="1:7" ht="28.8" x14ac:dyDescent="0.3">
      <c r="A30" s="129" t="s">
        <v>187</v>
      </c>
      <c r="B30" s="121" t="s">
        <v>1140</v>
      </c>
      <c r="C30" s="130" t="s">
        <v>879</v>
      </c>
      <c r="D30" s="131" t="s">
        <v>1136</v>
      </c>
      <c r="E30" s="132" t="s">
        <v>818</v>
      </c>
      <c r="F30" s="132" t="s">
        <v>880</v>
      </c>
      <c r="G30" s="133"/>
    </row>
    <row r="31" spans="1:7" ht="58.2" thickBot="1" x14ac:dyDescent="0.35">
      <c r="A31" s="140"/>
      <c r="B31" s="141"/>
      <c r="C31" s="142" t="s">
        <v>881</v>
      </c>
      <c r="D31" s="143" t="s">
        <v>1137</v>
      </c>
      <c r="E31" s="144" t="s">
        <v>882</v>
      </c>
      <c r="F31" s="144" t="s">
        <v>883</v>
      </c>
      <c r="G31" s="145"/>
    </row>
    <row r="32" spans="1:7" ht="43.8" thickBot="1" x14ac:dyDescent="0.35">
      <c r="A32" s="146" t="s">
        <v>80</v>
      </c>
      <c r="B32" s="147" t="s">
        <v>1144</v>
      </c>
      <c r="C32" s="147" t="s">
        <v>915</v>
      </c>
      <c r="D32" s="148" t="s">
        <v>1138</v>
      </c>
      <c r="E32" s="149" t="s">
        <v>917</v>
      </c>
      <c r="F32" s="149" t="s">
        <v>916</v>
      </c>
      <c r="G32" s="127"/>
    </row>
    <row r="33" spans="1:7" ht="87" thickBot="1" x14ac:dyDescent="0.35">
      <c r="A33" s="153" t="s">
        <v>71</v>
      </c>
      <c r="B33" s="154" t="s">
        <v>1144</v>
      </c>
      <c r="C33" s="147" t="s">
        <v>1091</v>
      </c>
      <c r="D33" s="148" t="s">
        <v>1114</v>
      </c>
      <c r="E33" s="149" t="s">
        <v>1090</v>
      </c>
      <c r="F33" s="149" t="s">
        <v>1089</v>
      </c>
      <c r="G33" s="127"/>
    </row>
    <row r="34" spans="1:7" ht="15" thickBot="1" x14ac:dyDescent="0.35">
      <c r="A34" s="153" t="s">
        <v>117</v>
      </c>
      <c r="B34" s="154" t="s">
        <v>1141</v>
      </c>
      <c r="C34" s="147" t="s">
        <v>1092</v>
      </c>
      <c r="D34" s="148" t="s">
        <v>1108</v>
      </c>
      <c r="E34" s="149" t="s">
        <v>1093</v>
      </c>
      <c r="F34" s="149"/>
      <c r="G34" s="127"/>
    </row>
    <row r="35" spans="1:7" ht="58.2" thickBot="1" x14ac:dyDescent="0.35">
      <c r="A35" s="153" t="s">
        <v>121</v>
      </c>
      <c r="B35" s="154" t="s">
        <v>1144</v>
      </c>
      <c r="C35" s="147" t="s">
        <v>1111</v>
      </c>
      <c r="D35" s="148" t="s">
        <v>1110</v>
      </c>
      <c r="E35" s="149" t="s">
        <v>821</v>
      </c>
      <c r="F35" s="149" t="s">
        <v>1109</v>
      </c>
      <c r="G35" s="127"/>
    </row>
    <row r="36" spans="1:7" ht="72.599999999999994" thickBot="1" x14ac:dyDescent="0.35">
      <c r="A36" s="153" t="s">
        <v>168</v>
      </c>
      <c r="B36" s="154" t="s">
        <v>1141</v>
      </c>
      <c r="C36" s="147" t="s">
        <v>1103</v>
      </c>
      <c r="D36" s="148" t="s">
        <v>1106</v>
      </c>
      <c r="E36" s="149" t="s">
        <v>821</v>
      </c>
      <c r="F36" s="149" t="s">
        <v>1104</v>
      </c>
      <c r="G36" s="127"/>
    </row>
    <row r="37" spans="1:7" ht="43.8" thickBot="1" x14ac:dyDescent="0.35">
      <c r="A37" s="153" t="s">
        <v>308</v>
      </c>
      <c r="B37" s="154" t="s">
        <v>1144</v>
      </c>
      <c r="C37" s="147" t="s">
        <v>1105</v>
      </c>
      <c r="D37" s="148" t="s">
        <v>1106</v>
      </c>
      <c r="E37" s="149" t="s">
        <v>821</v>
      </c>
      <c r="F37" s="149" t="s">
        <v>1107</v>
      </c>
      <c r="G37" s="127"/>
    </row>
    <row r="38" spans="1:7" ht="29.4" thickBot="1" x14ac:dyDescent="0.35">
      <c r="A38" s="146" t="s">
        <v>359</v>
      </c>
      <c r="B38" s="147" t="s">
        <v>1144</v>
      </c>
      <c r="C38" s="147" t="s">
        <v>1116</v>
      </c>
      <c r="D38" s="148" t="s">
        <v>1117</v>
      </c>
      <c r="E38" s="149" t="s">
        <v>821</v>
      </c>
      <c r="F38" s="149" t="s">
        <v>1121</v>
      </c>
      <c r="G38" s="127"/>
    </row>
    <row r="39" spans="1:7" ht="29.4" thickBot="1" x14ac:dyDescent="0.35">
      <c r="A39" s="146" t="s">
        <v>417</v>
      </c>
      <c r="B39" s="147" t="s">
        <v>1140</v>
      </c>
      <c r="C39" s="147" t="s">
        <v>1119</v>
      </c>
      <c r="D39" s="148" t="s">
        <v>1118</v>
      </c>
      <c r="E39" s="149" t="s">
        <v>821</v>
      </c>
      <c r="F39" s="149" t="s">
        <v>1120</v>
      </c>
      <c r="G39" s="127"/>
    </row>
    <row r="40" spans="1:7" ht="58.2" thickBot="1" x14ac:dyDescent="0.35">
      <c r="A40" s="146" t="s">
        <v>113</v>
      </c>
      <c r="B40" s="147" t="s">
        <v>1144</v>
      </c>
      <c r="C40" s="147" t="s">
        <v>1145</v>
      </c>
      <c r="D40" s="148" t="s">
        <v>1146</v>
      </c>
      <c r="E40" s="149" t="s">
        <v>868</v>
      </c>
      <c r="F40" s="149" t="s">
        <v>1149</v>
      </c>
      <c r="G40" s="127"/>
    </row>
    <row r="41" spans="1:7" ht="58.2" thickBot="1" x14ac:dyDescent="0.35">
      <c r="A41" s="153" t="s">
        <v>130</v>
      </c>
      <c r="B41" s="147" t="s">
        <v>1144</v>
      </c>
      <c r="C41" s="147" t="s">
        <v>1147</v>
      </c>
      <c r="D41" s="148" t="s">
        <v>1146</v>
      </c>
      <c r="E41" s="149" t="s">
        <v>868</v>
      </c>
      <c r="F41" s="155" t="s">
        <v>1148</v>
      </c>
      <c r="G41" s="127"/>
    </row>
  </sheetData>
  <autoFilter ref="A1:G41" xr:uid="{54BB4F51-2DF9-4CAC-A771-B24977FCEA4C}"/>
  <mergeCells count="21">
    <mergeCell ref="A2:A4"/>
    <mergeCell ref="A6:A8"/>
    <mergeCell ref="G6:G8"/>
    <mergeCell ref="A9:A11"/>
    <mergeCell ref="A12:A13"/>
    <mergeCell ref="B2:B4"/>
    <mergeCell ref="B6:B8"/>
    <mergeCell ref="B9:B11"/>
    <mergeCell ref="B12:B13"/>
    <mergeCell ref="A30:A31"/>
    <mergeCell ref="A14:A15"/>
    <mergeCell ref="A17:A18"/>
    <mergeCell ref="A20:A21"/>
    <mergeCell ref="A22:A23"/>
    <mergeCell ref="A28:A29"/>
    <mergeCell ref="B30:B31"/>
    <mergeCell ref="B14:B15"/>
    <mergeCell ref="B17:B18"/>
    <mergeCell ref="B20:B21"/>
    <mergeCell ref="B22:B23"/>
    <mergeCell ref="B28:B29"/>
  </mergeCells>
  <hyperlinks>
    <hyperlink ref="F41" r:id="rId1" xr:uid="{DCE63E3D-1921-4CB6-B761-BEE54E46C6AD}"/>
  </hyperlinks>
  <pageMargins left="0.7" right="0.7" top="0.78740157499999996" bottom="0.78740157499999996"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C5371-595B-4F0B-84A7-AD629A19698D}">
  <sheetPr>
    <pageSetUpPr autoPageBreaks="0"/>
  </sheetPr>
  <dimension ref="A1:R29"/>
  <sheetViews>
    <sheetView zoomScale="94" zoomScaleNormal="94" workbookViewId="0">
      <pane ySplit="2" topLeftCell="A3" activePane="bottomLeft" state="frozen"/>
      <selection pane="bottomLeft" activeCell="D7" sqref="D7"/>
    </sheetView>
  </sheetViews>
  <sheetFormatPr baseColWidth="10" defaultRowHeight="14.4" x14ac:dyDescent="0.3"/>
  <cols>
    <col min="1" max="1" width="7.77734375" style="32" bestFit="1" customWidth="1"/>
    <col min="2" max="2" width="26" style="33" customWidth="1"/>
    <col min="3" max="3" width="18.77734375" style="1" customWidth="1"/>
    <col min="4" max="4" width="17.33203125" style="1" customWidth="1"/>
    <col min="5" max="5" width="14.33203125" style="1" customWidth="1"/>
    <col min="6" max="6" width="10.44140625" style="1" customWidth="1"/>
    <col min="7" max="7" width="24.33203125" style="33" customWidth="1"/>
    <col min="8" max="8" width="25.44140625" style="33" customWidth="1"/>
    <col min="9" max="9" width="18.77734375" style="33" customWidth="1"/>
    <col min="10" max="10" width="61" style="33" customWidth="1"/>
    <col min="11" max="11" width="29.21875" style="33" customWidth="1"/>
    <col min="12" max="18" width="11.5546875" style="157"/>
    <col min="19" max="16384" width="11.5546875" style="1"/>
  </cols>
  <sheetData>
    <row r="1" spans="1:11" x14ac:dyDescent="0.3">
      <c r="A1" s="96" t="s">
        <v>13</v>
      </c>
      <c r="B1" s="97"/>
      <c r="C1" s="97"/>
      <c r="D1" s="99" t="s">
        <v>14</v>
      </c>
      <c r="E1" s="100"/>
      <c r="F1" s="158"/>
      <c r="G1" s="101" t="s">
        <v>1169</v>
      </c>
      <c r="H1" s="101"/>
      <c r="I1" s="101"/>
      <c r="J1" s="101"/>
      <c r="K1" s="103"/>
    </row>
    <row r="2" spans="1:11" ht="15.6" x14ac:dyDescent="0.3">
      <c r="A2" s="2" t="s">
        <v>10</v>
      </c>
      <c r="B2" s="4" t="s">
        <v>0</v>
      </c>
      <c r="C2" s="3" t="s">
        <v>1</v>
      </c>
      <c r="D2" s="5" t="s">
        <v>1143</v>
      </c>
      <c r="E2" s="5" t="s">
        <v>884</v>
      </c>
      <c r="F2" s="5" t="s">
        <v>7</v>
      </c>
      <c r="G2" s="50" t="s">
        <v>1164</v>
      </c>
      <c r="H2" s="50" t="s">
        <v>8</v>
      </c>
      <c r="I2" s="50" t="s">
        <v>1170</v>
      </c>
      <c r="J2" s="50" t="s">
        <v>1171</v>
      </c>
      <c r="K2" s="87" t="s">
        <v>1172</v>
      </c>
    </row>
    <row r="3" spans="1:11" ht="100.8" x14ac:dyDescent="0.3">
      <c r="A3" s="14">
        <v>19</v>
      </c>
      <c r="B3" s="16" t="s">
        <v>67</v>
      </c>
      <c r="C3" s="15" t="s">
        <v>627</v>
      </c>
      <c r="D3" s="17" t="s">
        <v>1097</v>
      </c>
      <c r="E3" s="17" t="s">
        <v>1144</v>
      </c>
      <c r="F3" s="17"/>
      <c r="G3" s="43" t="s">
        <v>1173</v>
      </c>
      <c r="H3" s="43" t="s">
        <v>1174</v>
      </c>
      <c r="I3" s="43" t="s">
        <v>1175</v>
      </c>
      <c r="J3" s="43" t="s">
        <v>1176</v>
      </c>
      <c r="K3" s="94">
        <v>45945</v>
      </c>
    </row>
    <row r="4" spans="1:11" ht="28.8" x14ac:dyDescent="0.3">
      <c r="A4" s="14">
        <v>19</v>
      </c>
      <c r="B4" s="16" t="s">
        <v>67</v>
      </c>
      <c r="C4" s="15" t="s">
        <v>627</v>
      </c>
      <c r="D4" s="17" t="s">
        <v>1097</v>
      </c>
      <c r="E4" s="17" t="s">
        <v>1144</v>
      </c>
      <c r="F4" s="17"/>
      <c r="G4" s="43" t="s">
        <v>1173</v>
      </c>
      <c r="H4" s="43" t="s">
        <v>1174</v>
      </c>
      <c r="I4" s="43" t="s">
        <v>1175</v>
      </c>
      <c r="J4" s="43" t="s">
        <v>1177</v>
      </c>
      <c r="K4" s="94">
        <v>45945</v>
      </c>
    </row>
    <row r="5" spans="1:11" ht="43.2" x14ac:dyDescent="0.3">
      <c r="A5" s="14">
        <v>21</v>
      </c>
      <c r="B5" s="16" t="s">
        <v>71</v>
      </c>
      <c r="C5" s="15" t="s">
        <v>629</v>
      </c>
      <c r="D5" s="17" t="s">
        <v>1097</v>
      </c>
      <c r="E5" s="17" t="s">
        <v>1144</v>
      </c>
      <c r="F5" s="17"/>
      <c r="G5" s="43" t="s">
        <v>1173</v>
      </c>
      <c r="H5" s="43" t="s">
        <v>1179</v>
      </c>
      <c r="I5" s="43" t="s">
        <v>1175</v>
      </c>
      <c r="J5" s="43" t="s">
        <v>1178</v>
      </c>
      <c r="K5" s="94">
        <v>45945</v>
      </c>
    </row>
    <row r="6" spans="1:11" ht="57.6" x14ac:dyDescent="0.3">
      <c r="A6" s="14">
        <v>24</v>
      </c>
      <c r="B6" s="16" t="s">
        <v>80</v>
      </c>
      <c r="C6" s="15"/>
      <c r="D6" s="17"/>
      <c r="E6" s="17"/>
      <c r="F6" s="17"/>
      <c r="G6" s="43" t="s">
        <v>1173</v>
      </c>
      <c r="H6" s="43" t="s">
        <v>1181</v>
      </c>
      <c r="I6" s="43" t="s">
        <v>1175</v>
      </c>
      <c r="J6" s="43" t="s">
        <v>1180</v>
      </c>
      <c r="K6" s="94">
        <v>45945</v>
      </c>
    </row>
    <row r="7" spans="1:11" ht="115.2" x14ac:dyDescent="0.3">
      <c r="A7" s="14">
        <v>26</v>
      </c>
      <c r="B7" s="16" t="s">
        <v>84</v>
      </c>
      <c r="C7" s="15" t="s">
        <v>624</v>
      </c>
      <c r="D7" s="17" t="s">
        <v>1097</v>
      </c>
      <c r="E7" s="17" t="s">
        <v>1140</v>
      </c>
      <c r="F7" s="17"/>
      <c r="G7" s="43" t="s">
        <v>1173</v>
      </c>
      <c r="H7" s="43" t="s">
        <v>1182</v>
      </c>
      <c r="I7" s="43" t="s">
        <v>1175</v>
      </c>
      <c r="J7" s="43" t="s">
        <v>1183</v>
      </c>
      <c r="K7" s="94">
        <v>45945</v>
      </c>
    </row>
    <row r="8" spans="1:11" ht="144" x14ac:dyDescent="0.3">
      <c r="A8" s="14">
        <v>39</v>
      </c>
      <c r="B8" s="16" t="s">
        <v>113</v>
      </c>
      <c r="C8" s="15" t="s">
        <v>494</v>
      </c>
      <c r="D8" s="17" t="s">
        <v>1097</v>
      </c>
      <c r="E8" s="17" t="s">
        <v>1144</v>
      </c>
      <c r="F8" s="17"/>
      <c r="G8" s="43" t="s">
        <v>1173</v>
      </c>
      <c r="H8" s="43" t="s">
        <v>1184</v>
      </c>
      <c r="I8" s="43" t="s">
        <v>1175</v>
      </c>
      <c r="J8" s="43" t="s">
        <v>1185</v>
      </c>
      <c r="K8" s="94">
        <v>45945</v>
      </c>
    </row>
    <row r="9" spans="1:11" ht="345.6" x14ac:dyDescent="0.3">
      <c r="A9" s="14">
        <v>41</v>
      </c>
      <c r="B9" s="16" t="s">
        <v>117</v>
      </c>
      <c r="C9" s="15" t="s">
        <v>487</v>
      </c>
      <c r="D9" s="17" t="s">
        <v>1097</v>
      </c>
      <c r="E9" s="17" t="s">
        <v>1141</v>
      </c>
      <c r="F9" s="17"/>
      <c r="G9" s="43" t="s">
        <v>1186</v>
      </c>
      <c r="H9" s="43" t="s">
        <v>1187</v>
      </c>
      <c r="I9" s="43" t="s">
        <v>1175</v>
      </c>
      <c r="J9" s="43" t="s">
        <v>1188</v>
      </c>
      <c r="K9" s="94">
        <v>45945</v>
      </c>
    </row>
    <row r="10" spans="1:11" ht="100.8" x14ac:dyDescent="0.3">
      <c r="A10" s="14">
        <v>43</v>
      </c>
      <c r="B10" s="16" t="s">
        <v>121</v>
      </c>
      <c r="C10" s="15" t="s">
        <v>494</v>
      </c>
      <c r="D10" s="17" t="s">
        <v>1097</v>
      </c>
      <c r="E10" s="17" t="s">
        <v>1144</v>
      </c>
      <c r="F10" s="17"/>
      <c r="G10" s="43" t="s">
        <v>1173</v>
      </c>
      <c r="H10" s="43" t="s">
        <v>1190</v>
      </c>
      <c r="I10" s="43" t="s">
        <v>1175</v>
      </c>
      <c r="J10" s="43" t="s">
        <v>1189</v>
      </c>
      <c r="K10" s="94">
        <v>45945</v>
      </c>
    </row>
    <row r="11" spans="1:11" ht="100.8" x14ac:dyDescent="0.3">
      <c r="A11" s="14">
        <v>46</v>
      </c>
      <c r="B11" s="16" t="s">
        <v>128</v>
      </c>
      <c r="C11" s="15" t="s">
        <v>623</v>
      </c>
      <c r="D11" s="17" t="s">
        <v>1097</v>
      </c>
      <c r="E11" s="17" t="s">
        <v>1144</v>
      </c>
      <c r="F11" s="17"/>
      <c r="G11" s="43" t="s">
        <v>1193</v>
      </c>
      <c r="H11" s="43" t="s">
        <v>1194</v>
      </c>
      <c r="I11" s="43" t="s">
        <v>1175</v>
      </c>
      <c r="J11" s="43" t="s">
        <v>1192</v>
      </c>
      <c r="K11" s="94">
        <v>45945</v>
      </c>
    </row>
    <row r="12" spans="1:11" ht="43.2" x14ac:dyDescent="0.3">
      <c r="A12" s="14">
        <v>58</v>
      </c>
      <c r="B12" s="16" t="s">
        <v>154</v>
      </c>
      <c r="C12" s="15" t="s">
        <v>624</v>
      </c>
      <c r="D12" s="17" t="s">
        <v>1097</v>
      </c>
      <c r="E12" s="17" t="s">
        <v>1141</v>
      </c>
      <c r="F12" s="17"/>
      <c r="G12" s="43" t="s">
        <v>1173</v>
      </c>
      <c r="H12" s="43" t="s">
        <v>1196</v>
      </c>
      <c r="I12" s="43" t="s">
        <v>1175</v>
      </c>
      <c r="J12" s="43" t="s">
        <v>1195</v>
      </c>
      <c r="K12" s="94">
        <v>45945</v>
      </c>
    </row>
    <row r="13" spans="1:11" ht="100.8" x14ac:dyDescent="0.3">
      <c r="A13" s="14">
        <v>59</v>
      </c>
      <c r="B13" s="16" t="s">
        <v>156</v>
      </c>
      <c r="C13" s="15" t="s">
        <v>623</v>
      </c>
      <c r="D13" s="17" t="s">
        <v>1097</v>
      </c>
      <c r="E13" s="17" t="s">
        <v>1141</v>
      </c>
      <c r="F13" s="17"/>
      <c r="G13" s="43" t="s">
        <v>1173</v>
      </c>
      <c r="H13" s="43" t="s">
        <v>1198</v>
      </c>
      <c r="I13" s="43" t="s">
        <v>1175</v>
      </c>
      <c r="J13" s="43" t="s">
        <v>1197</v>
      </c>
      <c r="K13" s="94">
        <v>45945</v>
      </c>
    </row>
    <row r="14" spans="1:11" ht="409.6" x14ac:dyDescent="0.3">
      <c r="A14" s="14">
        <v>65</v>
      </c>
      <c r="B14" s="16" t="s">
        <v>168</v>
      </c>
      <c r="C14" s="15" t="s">
        <v>494</v>
      </c>
      <c r="D14" s="17" t="s">
        <v>1097</v>
      </c>
      <c r="E14" s="17" t="s">
        <v>1141</v>
      </c>
      <c r="F14" s="17"/>
      <c r="G14" s="43" t="s">
        <v>1173</v>
      </c>
      <c r="H14" s="43" t="s">
        <v>1200</v>
      </c>
      <c r="I14" s="43" t="s">
        <v>1175</v>
      </c>
      <c r="J14" s="43" t="s">
        <v>1199</v>
      </c>
      <c r="K14" s="94">
        <v>45945</v>
      </c>
    </row>
    <row r="15" spans="1:11" ht="216" x14ac:dyDescent="0.3">
      <c r="A15" s="14">
        <v>67</v>
      </c>
      <c r="B15" s="16" t="s">
        <v>172</v>
      </c>
      <c r="C15" s="15" t="s">
        <v>659</v>
      </c>
      <c r="D15" s="17" t="s">
        <v>1097</v>
      </c>
      <c r="E15" s="17" t="s">
        <v>1141</v>
      </c>
      <c r="F15" s="17"/>
      <c r="G15" s="43" t="s">
        <v>1173</v>
      </c>
      <c r="H15" s="43" t="s">
        <v>1202</v>
      </c>
      <c r="I15" s="43" t="s">
        <v>1175</v>
      </c>
      <c r="J15" s="43" t="s">
        <v>1201</v>
      </c>
      <c r="K15" s="94">
        <v>45945</v>
      </c>
    </row>
    <row r="16" spans="1:11" ht="144" x14ac:dyDescent="0.3">
      <c r="A16" s="14">
        <v>74</v>
      </c>
      <c r="B16" s="16" t="s">
        <v>187</v>
      </c>
      <c r="C16" s="15" t="s">
        <v>691</v>
      </c>
      <c r="D16" s="17" t="s">
        <v>1097</v>
      </c>
      <c r="E16" s="17" t="s">
        <v>1140</v>
      </c>
      <c r="F16" s="17"/>
      <c r="G16" s="43" t="s">
        <v>1173</v>
      </c>
      <c r="H16" s="43" t="s">
        <v>1204</v>
      </c>
      <c r="I16" s="43" t="s">
        <v>1175</v>
      </c>
      <c r="J16" s="43" t="s">
        <v>1203</v>
      </c>
      <c r="K16" s="94">
        <v>45945</v>
      </c>
    </row>
    <row r="17" spans="1:18" s="68" customFormat="1" ht="57.6" x14ac:dyDescent="0.3">
      <c r="A17" s="14">
        <v>94</v>
      </c>
      <c r="B17" s="16" t="s">
        <v>228</v>
      </c>
      <c r="C17" s="15" t="s">
        <v>684</v>
      </c>
      <c r="D17" s="17" t="s">
        <v>1097</v>
      </c>
      <c r="E17" s="17" t="s">
        <v>1140</v>
      </c>
      <c r="F17" s="17"/>
      <c r="G17" s="43" t="s">
        <v>1173</v>
      </c>
      <c r="H17" s="43" t="s">
        <v>1205</v>
      </c>
      <c r="I17" s="43" t="s">
        <v>1175</v>
      </c>
      <c r="J17" s="43" t="s">
        <v>1206</v>
      </c>
      <c r="K17" s="94">
        <v>45945</v>
      </c>
      <c r="L17" s="157"/>
      <c r="M17" s="157"/>
      <c r="N17" s="157"/>
      <c r="O17" s="157"/>
      <c r="P17" s="157"/>
      <c r="Q17" s="157"/>
      <c r="R17" s="157"/>
    </row>
    <row r="18" spans="1:18" s="69" customFormat="1" x14ac:dyDescent="0.3">
      <c r="A18" s="14">
        <v>97</v>
      </c>
      <c r="B18" s="16" t="s">
        <v>235</v>
      </c>
      <c r="C18" s="15" t="s">
        <v>620</v>
      </c>
      <c r="D18" s="17" t="s">
        <v>1097</v>
      </c>
      <c r="E18" s="17" t="s">
        <v>1140</v>
      </c>
      <c r="F18" s="17"/>
      <c r="G18" s="43" t="s">
        <v>1173</v>
      </c>
      <c r="H18" s="43"/>
      <c r="I18" s="43"/>
      <c r="J18" s="43" t="s">
        <v>1207</v>
      </c>
      <c r="K18" s="94">
        <v>45945</v>
      </c>
      <c r="L18" s="157"/>
      <c r="M18" s="157"/>
      <c r="N18" s="157"/>
      <c r="O18" s="157"/>
      <c r="P18" s="157"/>
      <c r="Q18" s="157"/>
      <c r="R18" s="157"/>
    </row>
    <row r="19" spans="1:18" ht="100.8" x14ac:dyDescent="0.3">
      <c r="A19" s="14">
        <v>102</v>
      </c>
      <c r="B19" s="16" t="s">
        <v>246</v>
      </c>
      <c r="C19" s="15"/>
      <c r="D19" s="17"/>
      <c r="E19" s="17"/>
      <c r="F19" s="17"/>
      <c r="G19" s="43" t="s">
        <v>1173</v>
      </c>
      <c r="H19" s="43" t="s">
        <v>1209</v>
      </c>
      <c r="I19" s="43" t="s">
        <v>1175</v>
      </c>
      <c r="J19" s="43" t="s">
        <v>1208</v>
      </c>
      <c r="K19" s="94">
        <v>45945</v>
      </c>
    </row>
    <row r="20" spans="1:18" s="69" customFormat="1" x14ac:dyDescent="0.3">
      <c r="A20" s="14">
        <v>111</v>
      </c>
      <c r="B20" s="16" t="s">
        <v>266</v>
      </c>
      <c r="C20" s="15" t="s">
        <v>659</v>
      </c>
      <c r="D20" s="17" t="s">
        <v>1097</v>
      </c>
      <c r="E20" s="17" t="s">
        <v>1141</v>
      </c>
      <c r="F20" s="17"/>
      <c r="G20" s="43" t="s">
        <v>1173</v>
      </c>
      <c r="H20" s="43"/>
      <c r="I20" s="43"/>
      <c r="J20" s="43" t="s">
        <v>1207</v>
      </c>
      <c r="K20" s="94">
        <v>45945</v>
      </c>
      <c r="L20" s="157"/>
      <c r="M20" s="157"/>
      <c r="N20" s="157"/>
      <c r="O20" s="157"/>
      <c r="P20" s="157"/>
      <c r="Q20" s="157"/>
      <c r="R20" s="157"/>
    </row>
    <row r="21" spans="1:18" ht="409.6" x14ac:dyDescent="0.3">
      <c r="A21" s="14">
        <v>122</v>
      </c>
      <c r="B21" s="16" t="s">
        <v>288</v>
      </c>
      <c r="C21" s="15" t="s">
        <v>678</v>
      </c>
      <c r="D21" s="17" t="s">
        <v>1097</v>
      </c>
      <c r="E21" s="17" t="s">
        <v>1141</v>
      </c>
      <c r="F21" s="17"/>
      <c r="G21" s="43" t="s">
        <v>1173</v>
      </c>
      <c r="H21" s="43" t="s">
        <v>1211</v>
      </c>
      <c r="I21" s="43" t="s">
        <v>1175</v>
      </c>
      <c r="J21" s="43" t="s">
        <v>1210</v>
      </c>
      <c r="K21" s="94">
        <v>45945</v>
      </c>
    </row>
    <row r="22" spans="1:18" ht="144" x14ac:dyDescent="0.3">
      <c r="A22" s="14">
        <v>132</v>
      </c>
      <c r="B22" s="16" t="s">
        <v>308</v>
      </c>
      <c r="C22" s="15" t="s">
        <v>717</v>
      </c>
      <c r="D22" s="17" t="s">
        <v>1097</v>
      </c>
      <c r="E22" s="17" t="s">
        <v>1144</v>
      </c>
      <c r="F22" s="17"/>
      <c r="G22" s="43" t="s">
        <v>1173</v>
      </c>
      <c r="H22" s="43" t="s">
        <v>1213</v>
      </c>
      <c r="I22" s="43" t="s">
        <v>1175</v>
      </c>
      <c r="J22" s="43" t="s">
        <v>1212</v>
      </c>
      <c r="K22" s="94">
        <v>45945</v>
      </c>
    </row>
    <row r="23" spans="1:18" s="68" customFormat="1" ht="57.6" x14ac:dyDescent="0.3">
      <c r="A23" s="14">
        <v>157</v>
      </c>
      <c r="B23" s="16" t="s">
        <v>359</v>
      </c>
      <c r="C23" s="15" t="s">
        <v>494</v>
      </c>
      <c r="D23" s="17" t="s">
        <v>1097</v>
      </c>
      <c r="E23" s="17" t="s">
        <v>1144</v>
      </c>
      <c r="F23" s="17"/>
      <c r="G23" s="43" t="s">
        <v>1173</v>
      </c>
      <c r="H23" s="43" t="s">
        <v>1215</v>
      </c>
      <c r="I23" s="43" t="s">
        <v>1175</v>
      </c>
      <c r="J23" s="43" t="s">
        <v>1214</v>
      </c>
      <c r="K23" s="94">
        <v>45945</v>
      </c>
      <c r="L23" s="157"/>
      <c r="M23" s="157"/>
      <c r="N23" s="157"/>
      <c r="O23" s="157"/>
      <c r="P23" s="157"/>
      <c r="Q23" s="157"/>
      <c r="R23" s="157"/>
    </row>
    <row r="24" spans="1:18" ht="158.4" x14ac:dyDescent="0.3">
      <c r="A24" s="14">
        <v>159</v>
      </c>
      <c r="B24" s="16" t="s">
        <v>363</v>
      </c>
      <c r="C24" s="15" t="s">
        <v>494</v>
      </c>
      <c r="D24" s="17" t="s">
        <v>1097</v>
      </c>
      <c r="E24" s="17" t="s">
        <v>1140</v>
      </c>
      <c r="F24" s="17"/>
      <c r="G24" s="43" t="s">
        <v>1173</v>
      </c>
      <c r="H24" s="43" t="s">
        <v>1217</v>
      </c>
      <c r="I24" s="43" t="s">
        <v>1175</v>
      </c>
      <c r="J24" s="43" t="s">
        <v>1216</v>
      </c>
      <c r="K24" s="94">
        <v>45945</v>
      </c>
    </row>
    <row r="25" spans="1:18" s="69" customFormat="1" ht="28.8" x14ac:dyDescent="0.3">
      <c r="A25" s="14">
        <v>163</v>
      </c>
      <c r="B25" s="16" t="s">
        <v>371</v>
      </c>
      <c r="C25" s="15" t="s">
        <v>643</v>
      </c>
      <c r="D25" s="17" t="s">
        <v>1097</v>
      </c>
      <c r="E25" s="17" t="s">
        <v>1140</v>
      </c>
      <c r="F25" s="17"/>
      <c r="G25" s="43" t="s">
        <v>1173</v>
      </c>
      <c r="H25" s="43" t="s">
        <v>1218</v>
      </c>
      <c r="I25" s="43" t="s">
        <v>1175</v>
      </c>
      <c r="J25" s="43" t="s">
        <v>1207</v>
      </c>
      <c r="K25" s="94">
        <v>45945</v>
      </c>
      <c r="L25" s="157"/>
      <c r="M25" s="157"/>
      <c r="N25" s="157"/>
      <c r="O25" s="157"/>
      <c r="P25" s="157"/>
      <c r="Q25" s="157"/>
      <c r="R25" s="157"/>
    </row>
    <row r="26" spans="1:18" s="68" customFormat="1" ht="72" x14ac:dyDescent="0.3">
      <c r="A26" s="14">
        <v>164</v>
      </c>
      <c r="B26" s="16" t="s">
        <v>373</v>
      </c>
      <c r="C26" s="15" t="s">
        <v>770</v>
      </c>
      <c r="D26" s="17" t="s">
        <v>1097</v>
      </c>
      <c r="E26" s="17" t="s">
        <v>1140</v>
      </c>
      <c r="F26" s="17"/>
      <c r="G26" s="43" t="s">
        <v>1173</v>
      </c>
      <c r="H26" s="43" t="s">
        <v>1220</v>
      </c>
      <c r="I26" s="43" t="s">
        <v>1175</v>
      </c>
      <c r="J26" s="43" t="s">
        <v>1219</v>
      </c>
      <c r="K26" s="94">
        <v>45945</v>
      </c>
      <c r="L26" s="157"/>
      <c r="M26" s="157"/>
      <c r="N26" s="157"/>
      <c r="O26" s="157"/>
      <c r="P26" s="157"/>
      <c r="Q26" s="157"/>
      <c r="R26" s="157"/>
    </row>
    <row r="27" spans="1:18" s="68" customFormat="1" ht="331.2" x14ac:dyDescent="0.3">
      <c r="A27" s="14">
        <v>184</v>
      </c>
      <c r="B27" s="16" t="s">
        <v>417</v>
      </c>
      <c r="C27" s="15" t="s">
        <v>691</v>
      </c>
      <c r="D27" s="17" t="s">
        <v>1097</v>
      </c>
      <c r="E27" s="17" t="s">
        <v>1140</v>
      </c>
      <c r="F27" s="17"/>
      <c r="G27" s="43" t="s">
        <v>1173</v>
      </c>
      <c r="H27" s="43" t="s">
        <v>1222</v>
      </c>
      <c r="I27" s="43" t="s">
        <v>1175</v>
      </c>
      <c r="J27" s="43" t="s">
        <v>1221</v>
      </c>
      <c r="K27" s="94">
        <v>45945</v>
      </c>
      <c r="L27" s="157"/>
      <c r="M27" s="157"/>
      <c r="N27" s="157"/>
      <c r="O27" s="157"/>
      <c r="P27" s="157"/>
      <c r="Q27" s="157"/>
      <c r="R27" s="157"/>
    </row>
    <row r="28" spans="1:18" ht="255" customHeight="1" x14ac:dyDescent="0.3">
      <c r="A28" s="14">
        <v>199</v>
      </c>
      <c r="B28" s="16" t="s">
        <v>447</v>
      </c>
      <c r="C28" s="15" t="s">
        <v>494</v>
      </c>
      <c r="D28" s="17" t="s">
        <v>1097</v>
      </c>
      <c r="E28" s="17" t="s">
        <v>1140</v>
      </c>
      <c r="F28" s="17"/>
      <c r="G28" s="43" t="s">
        <v>1173</v>
      </c>
      <c r="H28" s="43" t="s">
        <v>1224</v>
      </c>
      <c r="I28" s="43" t="s">
        <v>1175</v>
      </c>
      <c r="J28" s="43" t="s">
        <v>1223</v>
      </c>
      <c r="K28" s="94">
        <v>45945</v>
      </c>
    </row>
    <row r="29" spans="1:18" ht="72.599999999999994" thickBot="1" x14ac:dyDescent="0.35">
      <c r="A29" s="26">
        <v>213</v>
      </c>
      <c r="B29" s="28" t="s">
        <v>477</v>
      </c>
      <c r="C29" s="27"/>
      <c r="D29" s="29"/>
      <c r="E29" s="29"/>
      <c r="F29" s="29"/>
      <c r="G29" s="51" t="s">
        <v>1173</v>
      </c>
      <c r="H29" s="51" t="s">
        <v>1191</v>
      </c>
      <c r="I29" s="51" t="s">
        <v>1175</v>
      </c>
      <c r="J29" s="51" t="s">
        <v>1225</v>
      </c>
      <c r="K29" s="95">
        <v>45945</v>
      </c>
    </row>
  </sheetData>
  <autoFilter ref="A2:K29" xr:uid="{FC0214A7-68B1-4572-9769-570ED03B11E2}"/>
  <mergeCells count="3">
    <mergeCell ref="A1:C1"/>
    <mergeCell ref="D1:F1"/>
    <mergeCell ref="G1:K1"/>
  </mergeCells>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4E3A0-EA77-487A-BAA3-E89B5796FE97}">
  <dimension ref="A1:R29"/>
  <sheetViews>
    <sheetView zoomScaleNormal="100" workbookViewId="0">
      <pane ySplit="2" topLeftCell="A3" activePane="bottomLeft" state="frozen"/>
      <selection pane="bottomLeft" activeCell="E15" sqref="E15"/>
    </sheetView>
  </sheetViews>
  <sheetFormatPr baseColWidth="10" defaultRowHeight="14.4" x14ac:dyDescent="0.3"/>
  <cols>
    <col min="1" max="1" width="7.77734375" style="32" bestFit="1" customWidth="1"/>
    <col min="2" max="2" width="26" style="33" customWidth="1"/>
    <col min="3" max="3" width="18.77734375" style="1" customWidth="1"/>
    <col min="4" max="4" width="23.77734375" style="1" customWidth="1"/>
    <col min="5" max="5" width="24.33203125" style="33" customWidth="1"/>
    <col min="6" max="7" width="15.77734375" style="33" customWidth="1"/>
    <col min="8" max="8" width="16.5546875" style="33" customWidth="1"/>
    <col min="9" max="15" width="26.21875" style="33" customWidth="1"/>
    <col min="16" max="17" width="26.88671875" style="33" customWidth="1"/>
    <col min="18" max="18" width="51.21875" style="33" customWidth="1"/>
    <col min="19" max="16384" width="11.5546875" style="1"/>
  </cols>
  <sheetData>
    <row r="1" spans="1:18" x14ac:dyDescent="0.3">
      <c r="A1" s="112" t="s">
        <v>13</v>
      </c>
      <c r="B1" s="113"/>
      <c r="C1" s="113"/>
      <c r="D1" s="114"/>
      <c r="E1" s="106" t="s">
        <v>1164</v>
      </c>
      <c r="F1" s="107"/>
      <c r="G1" s="107"/>
      <c r="H1" s="108"/>
      <c r="I1" s="109" t="s">
        <v>1286</v>
      </c>
      <c r="J1" s="110"/>
      <c r="K1" s="110"/>
      <c r="L1" s="110"/>
      <c r="M1" s="110"/>
      <c r="N1" s="110"/>
      <c r="O1" s="110"/>
      <c r="P1" s="110"/>
      <c r="Q1" s="110"/>
      <c r="R1" s="111"/>
    </row>
    <row r="2" spans="1:18" ht="31.2" x14ac:dyDescent="0.3">
      <c r="A2" s="2" t="s">
        <v>10</v>
      </c>
      <c r="B2" s="4" t="s">
        <v>0</v>
      </c>
      <c r="C2" s="3" t="s">
        <v>1</v>
      </c>
      <c r="D2" s="3" t="s">
        <v>1240</v>
      </c>
      <c r="E2" s="71" t="s">
        <v>1164</v>
      </c>
      <c r="F2" s="71" t="s">
        <v>1255</v>
      </c>
      <c r="G2" s="71" t="s">
        <v>1275</v>
      </c>
      <c r="H2" s="71" t="s">
        <v>1327</v>
      </c>
      <c r="I2" s="50" t="s">
        <v>1256</v>
      </c>
      <c r="J2" s="50" t="s">
        <v>1282</v>
      </c>
      <c r="K2" s="50" t="s">
        <v>1257</v>
      </c>
      <c r="L2" s="50" t="s">
        <v>1258</v>
      </c>
      <c r="M2" s="50" t="s">
        <v>1259</v>
      </c>
      <c r="N2" s="50" t="s">
        <v>1260</v>
      </c>
      <c r="O2" s="50" t="s">
        <v>1261</v>
      </c>
      <c r="P2" s="50" t="s">
        <v>1262</v>
      </c>
      <c r="Q2" s="50" t="s">
        <v>1263</v>
      </c>
      <c r="R2" s="50" t="s">
        <v>12</v>
      </c>
    </row>
    <row r="3" spans="1:18" ht="57.6" x14ac:dyDescent="0.3">
      <c r="A3" s="14">
        <v>19</v>
      </c>
      <c r="B3" s="16" t="s">
        <v>67</v>
      </c>
      <c r="C3" s="15" t="s">
        <v>627</v>
      </c>
      <c r="D3" s="15" t="s">
        <v>1241</v>
      </c>
      <c r="E3" s="72" t="s">
        <v>1173</v>
      </c>
      <c r="F3" s="73">
        <v>45945</v>
      </c>
      <c r="G3" s="73" t="s">
        <v>1276</v>
      </c>
      <c r="H3" s="73" t="s">
        <v>1330</v>
      </c>
      <c r="I3" s="43" t="s">
        <v>1264</v>
      </c>
      <c r="J3" s="43" t="s">
        <v>1265</v>
      </c>
      <c r="K3" s="43" t="s">
        <v>1266</v>
      </c>
      <c r="L3" s="43" t="s">
        <v>1289</v>
      </c>
      <c r="M3" s="43" t="s">
        <v>1269</v>
      </c>
      <c r="N3" s="43" t="s">
        <v>1266</v>
      </c>
      <c r="O3" s="43" t="s">
        <v>1266</v>
      </c>
      <c r="P3" s="43" t="s">
        <v>1264</v>
      </c>
      <c r="Q3" s="43" t="s">
        <v>1268</v>
      </c>
      <c r="R3" s="43" t="s">
        <v>1284</v>
      </c>
    </row>
    <row r="4" spans="1:18" x14ac:dyDescent="0.3">
      <c r="A4" s="14">
        <v>21</v>
      </c>
      <c r="B4" s="16" t="s">
        <v>71</v>
      </c>
      <c r="C4" s="15" t="s">
        <v>629</v>
      </c>
      <c r="D4" s="15" t="s">
        <v>619</v>
      </c>
      <c r="E4" s="72" t="s">
        <v>1173</v>
      </c>
      <c r="F4" s="73">
        <v>45945</v>
      </c>
      <c r="G4" s="73" t="s">
        <v>1276</v>
      </c>
      <c r="H4" s="73" t="s">
        <v>1328</v>
      </c>
      <c r="I4" s="43" t="s">
        <v>1269</v>
      </c>
      <c r="J4" s="43" t="s">
        <v>1265</v>
      </c>
      <c r="K4" s="43" t="s">
        <v>1273</v>
      </c>
      <c r="L4" s="43" t="s">
        <v>1267</v>
      </c>
      <c r="M4" s="43" t="s">
        <v>1264</v>
      </c>
      <c r="N4" s="43" t="s">
        <v>1266</v>
      </c>
      <c r="O4" s="43" t="s">
        <v>1269</v>
      </c>
      <c r="P4" s="43" t="s">
        <v>1269</v>
      </c>
      <c r="Q4" s="43" t="s">
        <v>1268</v>
      </c>
      <c r="R4" s="43" t="s">
        <v>1271</v>
      </c>
    </row>
    <row r="5" spans="1:18" ht="28.8" x14ac:dyDescent="0.3">
      <c r="A5" s="14">
        <v>24</v>
      </c>
      <c r="B5" s="16" t="s">
        <v>80</v>
      </c>
      <c r="C5" s="15" t="s">
        <v>624</v>
      </c>
      <c r="D5" s="15" t="s">
        <v>1249</v>
      </c>
      <c r="E5" s="72" t="s">
        <v>1325</v>
      </c>
      <c r="F5" s="73">
        <v>45945</v>
      </c>
      <c r="G5" s="73" t="s">
        <v>1276</v>
      </c>
      <c r="H5" s="73" t="s">
        <v>1330</v>
      </c>
      <c r="I5" s="43" t="s">
        <v>1264</v>
      </c>
      <c r="J5" s="43" t="s">
        <v>1265</v>
      </c>
      <c r="K5" s="43" t="s">
        <v>1273</v>
      </c>
      <c r="L5" s="43" t="s">
        <v>1326</v>
      </c>
      <c r="M5" s="43" t="s">
        <v>1266</v>
      </c>
      <c r="N5" s="43" t="s">
        <v>1266</v>
      </c>
      <c r="O5" s="43" t="s">
        <v>1266</v>
      </c>
      <c r="P5" s="43" t="s">
        <v>1264</v>
      </c>
      <c r="Q5" s="43" t="s">
        <v>1274</v>
      </c>
      <c r="R5" s="43" t="s">
        <v>1285</v>
      </c>
    </row>
    <row r="6" spans="1:18" ht="28.8" x14ac:dyDescent="0.3">
      <c r="A6" s="14">
        <v>26</v>
      </c>
      <c r="B6" s="16" t="s">
        <v>84</v>
      </c>
      <c r="C6" s="15" t="s">
        <v>624</v>
      </c>
      <c r="D6" s="15" t="s">
        <v>619</v>
      </c>
      <c r="E6" s="72" t="s">
        <v>1324</v>
      </c>
      <c r="F6" s="73">
        <v>45945</v>
      </c>
      <c r="G6" s="73" t="s">
        <v>1277</v>
      </c>
      <c r="H6" s="73" t="s">
        <v>1330</v>
      </c>
      <c r="I6" s="43" t="s">
        <v>1264</v>
      </c>
      <c r="J6" s="43" t="s">
        <v>1272</v>
      </c>
      <c r="K6" s="43" t="s">
        <v>1273</v>
      </c>
      <c r="L6" s="43" t="s">
        <v>1326</v>
      </c>
      <c r="M6" s="43" t="s">
        <v>1269</v>
      </c>
      <c r="N6" s="43" t="s">
        <v>1266</v>
      </c>
      <c r="O6" s="43" t="s">
        <v>1266</v>
      </c>
      <c r="P6" s="43" t="s">
        <v>1266</v>
      </c>
      <c r="Q6" s="43" t="s">
        <v>1268</v>
      </c>
      <c r="R6" s="43" t="s">
        <v>1287</v>
      </c>
    </row>
    <row r="7" spans="1:18" ht="28.8" x14ac:dyDescent="0.3">
      <c r="A7" s="14">
        <v>39</v>
      </c>
      <c r="B7" s="16" t="s">
        <v>113</v>
      </c>
      <c r="C7" s="15" t="s">
        <v>494</v>
      </c>
      <c r="D7" s="15" t="s">
        <v>1249</v>
      </c>
      <c r="E7" s="72" t="s">
        <v>1173</v>
      </c>
      <c r="F7" s="73">
        <v>45945</v>
      </c>
      <c r="G7" s="73" t="s">
        <v>1276</v>
      </c>
      <c r="H7" s="73" t="s">
        <v>1328</v>
      </c>
      <c r="I7" s="43" t="s">
        <v>1269</v>
      </c>
      <c r="J7" s="43" t="s">
        <v>1265</v>
      </c>
      <c r="K7" s="43" t="s">
        <v>1266</v>
      </c>
      <c r="L7" s="43" t="s">
        <v>1267</v>
      </c>
      <c r="M7" s="43" t="s">
        <v>1269</v>
      </c>
      <c r="N7" s="43" t="s">
        <v>1266</v>
      </c>
      <c r="O7" s="43" t="s">
        <v>1264</v>
      </c>
      <c r="P7" s="43" t="s">
        <v>1269</v>
      </c>
      <c r="Q7" s="43" t="s">
        <v>1268</v>
      </c>
      <c r="R7" s="43" t="s">
        <v>1288</v>
      </c>
    </row>
    <row r="8" spans="1:18" ht="57.6" x14ac:dyDescent="0.3">
      <c r="A8" s="14">
        <v>41</v>
      </c>
      <c r="B8" s="16" t="s">
        <v>117</v>
      </c>
      <c r="C8" s="15" t="s">
        <v>487</v>
      </c>
      <c r="D8" s="15" t="s">
        <v>1246</v>
      </c>
      <c r="E8" s="72" t="s">
        <v>1186</v>
      </c>
      <c r="F8" s="73">
        <v>45945</v>
      </c>
      <c r="G8" s="73" t="s">
        <v>1277</v>
      </c>
      <c r="H8" s="73" t="s">
        <v>1330</v>
      </c>
      <c r="I8" s="43" t="s">
        <v>1269</v>
      </c>
      <c r="J8" s="43" t="s">
        <v>1265</v>
      </c>
      <c r="K8" s="43" t="s">
        <v>1273</v>
      </c>
      <c r="L8" s="43" t="s">
        <v>1289</v>
      </c>
      <c r="M8" s="43" t="s">
        <v>1269</v>
      </c>
      <c r="N8" s="43" t="s">
        <v>1266</v>
      </c>
      <c r="O8" s="43" t="s">
        <v>1264</v>
      </c>
      <c r="P8" s="43" t="s">
        <v>1264</v>
      </c>
      <c r="Q8" s="43" t="s">
        <v>1268</v>
      </c>
      <c r="R8" s="43" t="s">
        <v>1280</v>
      </c>
    </row>
    <row r="9" spans="1:18" x14ac:dyDescent="0.3">
      <c r="A9" s="14">
        <v>43</v>
      </c>
      <c r="B9" s="16" t="s">
        <v>121</v>
      </c>
      <c r="C9" s="15" t="s">
        <v>494</v>
      </c>
      <c r="D9" s="15" t="s">
        <v>1246</v>
      </c>
      <c r="E9" s="72" t="s">
        <v>1173</v>
      </c>
      <c r="F9" s="73">
        <v>45945</v>
      </c>
      <c r="G9" s="73" t="s">
        <v>1276</v>
      </c>
      <c r="H9" s="73" t="s">
        <v>1328</v>
      </c>
      <c r="I9" s="43" t="s">
        <v>1269</v>
      </c>
      <c r="J9" s="43" t="s">
        <v>1265</v>
      </c>
      <c r="K9" s="43" t="s">
        <v>1279</v>
      </c>
      <c r="L9" s="43" t="s">
        <v>1290</v>
      </c>
      <c r="M9" s="43" t="s">
        <v>1269</v>
      </c>
      <c r="N9" s="43" t="s">
        <v>1269</v>
      </c>
      <c r="O9" s="43" t="s">
        <v>1269</v>
      </c>
      <c r="P9" s="43" t="s">
        <v>1264</v>
      </c>
      <c r="Q9" s="43" t="s">
        <v>1268</v>
      </c>
      <c r="R9" s="43"/>
    </row>
    <row r="10" spans="1:18" x14ac:dyDescent="0.3">
      <c r="A10" s="14">
        <v>46</v>
      </c>
      <c r="B10" s="16" t="s">
        <v>128</v>
      </c>
      <c r="C10" s="15" t="s">
        <v>623</v>
      </c>
      <c r="D10" s="15" t="s">
        <v>1248</v>
      </c>
      <c r="E10" s="72" t="s">
        <v>1193</v>
      </c>
      <c r="F10" s="73">
        <v>45945</v>
      </c>
      <c r="G10" s="73" t="s">
        <v>1276</v>
      </c>
      <c r="H10" s="73" t="s">
        <v>1330</v>
      </c>
      <c r="I10" s="43" t="s">
        <v>1264</v>
      </c>
      <c r="J10" s="43" t="s">
        <v>1265</v>
      </c>
      <c r="K10" s="43" t="s">
        <v>1266</v>
      </c>
      <c r="L10" s="43" t="s">
        <v>1266</v>
      </c>
      <c r="M10" s="43" t="s">
        <v>1266</v>
      </c>
      <c r="N10" s="43" t="s">
        <v>1266</v>
      </c>
      <c r="O10" s="43" t="s">
        <v>1266</v>
      </c>
      <c r="P10" s="43" t="s">
        <v>1264</v>
      </c>
      <c r="Q10" s="43" t="s">
        <v>1274</v>
      </c>
      <c r="R10" s="43"/>
    </row>
    <row r="11" spans="1:18" ht="28.8" x14ac:dyDescent="0.3">
      <c r="A11" s="14">
        <v>47</v>
      </c>
      <c r="B11" s="16" t="s">
        <v>130</v>
      </c>
      <c r="C11" s="15" t="s">
        <v>494</v>
      </c>
      <c r="D11" s="15" t="s">
        <v>1243</v>
      </c>
      <c r="E11" s="72" t="s">
        <v>1323</v>
      </c>
      <c r="F11" s="73">
        <v>45945</v>
      </c>
      <c r="G11" s="73" t="s">
        <v>1277</v>
      </c>
      <c r="H11" s="73" t="s">
        <v>1330</v>
      </c>
      <c r="I11" s="43" t="s">
        <v>1269</v>
      </c>
      <c r="J11" s="43" t="s">
        <v>1278</v>
      </c>
      <c r="K11" s="43" t="s">
        <v>1273</v>
      </c>
      <c r="L11" s="43" t="s">
        <v>1266</v>
      </c>
      <c r="M11" s="43" t="s">
        <v>1269</v>
      </c>
      <c r="N11" s="43" t="s">
        <v>1264</v>
      </c>
      <c r="O11" s="43" t="s">
        <v>1269</v>
      </c>
      <c r="P11" s="43" t="s">
        <v>1266</v>
      </c>
      <c r="Q11" s="43" t="s">
        <v>1268</v>
      </c>
      <c r="R11" s="43"/>
    </row>
    <row r="12" spans="1:18" x14ac:dyDescent="0.3">
      <c r="A12" s="14">
        <v>58</v>
      </c>
      <c r="B12" s="16" t="s">
        <v>154</v>
      </c>
      <c r="C12" s="15" t="s">
        <v>624</v>
      </c>
      <c r="D12" s="15" t="s">
        <v>1241</v>
      </c>
      <c r="E12" s="72" t="s">
        <v>1321</v>
      </c>
      <c r="F12" s="73">
        <v>45945</v>
      </c>
      <c r="G12" s="73" t="s">
        <v>1276</v>
      </c>
      <c r="H12" s="73" t="s">
        <v>1328</v>
      </c>
      <c r="I12" s="43" t="s">
        <v>1269</v>
      </c>
      <c r="J12" s="43" t="s">
        <v>1265</v>
      </c>
      <c r="K12" s="43" t="s">
        <v>1279</v>
      </c>
      <c r="L12" s="43" t="s">
        <v>1290</v>
      </c>
      <c r="M12" s="43" t="s">
        <v>1269</v>
      </c>
      <c r="N12" s="43" t="s">
        <v>1266</v>
      </c>
      <c r="O12" s="43" t="s">
        <v>1264</v>
      </c>
      <c r="P12" s="43" t="s">
        <v>1269</v>
      </c>
      <c r="Q12" s="43" t="s">
        <v>1268</v>
      </c>
      <c r="R12" s="43"/>
    </row>
    <row r="13" spans="1:18" x14ac:dyDescent="0.3">
      <c r="A13" s="14">
        <v>59</v>
      </c>
      <c r="B13" s="16" t="s">
        <v>156</v>
      </c>
      <c r="C13" s="15" t="s">
        <v>623</v>
      </c>
      <c r="D13" s="15" t="s">
        <v>1241</v>
      </c>
      <c r="E13" s="72" t="s">
        <v>1173</v>
      </c>
      <c r="F13" s="73">
        <v>45945</v>
      </c>
      <c r="G13" s="73" t="s">
        <v>1276</v>
      </c>
      <c r="H13" s="73" t="s">
        <v>1328</v>
      </c>
      <c r="I13" s="43" t="s">
        <v>1269</v>
      </c>
      <c r="J13" s="43" t="s">
        <v>1265</v>
      </c>
      <c r="K13" s="43" t="s">
        <v>1273</v>
      </c>
      <c r="L13" s="43" t="s">
        <v>1266</v>
      </c>
      <c r="M13" s="43" t="s">
        <v>1269</v>
      </c>
      <c r="N13" s="43" t="s">
        <v>1264</v>
      </c>
      <c r="O13" s="43" t="s">
        <v>1269</v>
      </c>
      <c r="P13" s="43" t="s">
        <v>1269</v>
      </c>
      <c r="Q13" s="43" t="s">
        <v>1268</v>
      </c>
      <c r="R13" s="43"/>
    </row>
    <row r="14" spans="1:18" x14ac:dyDescent="0.3">
      <c r="A14" s="14">
        <v>65</v>
      </c>
      <c r="B14" s="16" t="s">
        <v>168</v>
      </c>
      <c r="C14" s="15" t="s">
        <v>494</v>
      </c>
      <c r="D14" s="15" t="s">
        <v>1243</v>
      </c>
      <c r="E14" s="72" t="s">
        <v>1173</v>
      </c>
      <c r="F14" s="73">
        <v>45945</v>
      </c>
      <c r="G14" s="73" t="s">
        <v>1276</v>
      </c>
      <c r="H14" s="73" t="s">
        <v>1330</v>
      </c>
      <c r="I14" s="43" t="s">
        <v>1269</v>
      </c>
      <c r="J14" s="43" t="s">
        <v>1265</v>
      </c>
      <c r="K14" s="43" t="s">
        <v>1266</v>
      </c>
      <c r="L14" s="43" t="s">
        <v>1266</v>
      </c>
      <c r="M14" s="43" t="s">
        <v>1266</v>
      </c>
      <c r="N14" s="43" t="s">
        <v>1266</v>
      </c>
      <c r="O14" s="43" t="s">
        <v>1269</v>
      </c>
      <c r="P14" s="43" t="s">
        <v>1266</v>
      </c>
      <c r="Q14" s="43" t="s">
        <v>1268</v>
      </c>
      <c r="R14" s="43"/>
    </row>
    <row r="15" spans="1:18" x14ac:dyDescent="0.3">
      <c r="A15" s="14">
        <v>67</v>
      </c>
      <c r="B15" s="16" t="s">
        <v>172</v>
      </c>
      <c r="C15" s="15" t="s">
        <v>659</v>
      </c>
      <c r="D15" s="15" t="s">
        <v>619</v>
      </c>
      <c r="E15" s="72" t="s">
        <v>1173</v>
      </c>
      <c r="F15" s="73">
        <v>45945</v>
      </c>
      <c r="G15" s="73" t="s">
        <v>1276</v>
      </c>
      <c r="H15" s="73" t="s">
        <v>1330</v>
      </c>
      <c r="I15" s="43" t="s">
        <v>1269</v>
      </c>
      <c r="J15" s="43" t="s">
        <v>1265</v>
      </c>
      <c r="K15" s="43" t="s">
        <v>1279</v>
      </c>
      <c r="L15" s="43" t="s">
        <v>1266</v>
      </c>
      <c r="M15" s="43" t="s">
        <v>1269</v>
      </c>
      <c r="N15" s="43" t="s">
        <v>1266</v>
      </c>
      <c r="O15" s="43" t="s">
        <v>1266</v>
      </c>
      <c r="P15" s="43" t="s">
        <v>1269</v>
      </c>
      <c r="Q15" s="43" t="s">
        <v>1268</v>
      </c>
      <c r="R15" s="43"/>
    </row>
    <row r="16" spans="1:18" x14ac:dyDescent="0.3">
      <c r="A16" s="14">
        <v>74</v>
      </c>
      <c r="B16" s="16" t="s">
        <v>187</v>
      </c>
      <c r="C16" s="15" t="s">
        <v>691</v>
      </c>
      <c r="D16" s="15" t="s">
        <v>619</v>
      </c>
      <c r="E16" s="72" t="s">
        <v>1173</v>
      </c>
      <c r="F16" s="73">
        <v>45945</v>
      </c>
      <c r="G16" s="73" t="s">
        <v>1276</v>
      </c>
      <c r="H16" s="73" t="s">
        <v>1328</v>
      </c>
      <c r="I16" s="43" t="s">
        <v>1269</v>
      </c>
      <c r="J16" s="43" t="s">
        <v>1265</v>
      </c>
      <c r="K16" s="43" t="s">
        <v>1273</v>
      </c>
      <c r="L16" s="43" t="s">
        <v>1267</v>
      </c>
      <c r="M16" s="43" t="s">
        <v>1269</v>
      </c>
      <c r="N16" s="43" t="s">
        <v>1269</v>
      </c>
      <c r="O16" s="43" t="s">
        <v>1269</v>
      </c>
      <c r="P16" s="43" t="s">
        <v>1266</v>
      </c>
      <c r="Q16" s="43" t="s">
        <v>1268</v>
      </c>
      <c r="R16" s="43"/>
    </row>
    <row r="17" spans="1:18" ht="28.8" x14ac:dyDescent="0.3">
      <c r="A17" s="14">
        <v>94</v>
      </c>
      <c r="B17" s="16" t="s">
        <v>228</v>
      </c>
      <c r="C17" s="15" t="s">
        <v>684</v>
      </c>
      <c r="D17" s="15" t="s">
        <v>619</v>
      </c>
      <c r="E17" s="72" t="s">
        <v>1283</v>
      </c>
      <c r="F17" s="73">
        <v>45945</v>
      </c>
      <c r="G17" s="73" t="s">
        <v>1276</v>
      </c>
      <c r="H17" s="73" t="s">
        <v>1330</v>
      </c>
      <c r="I17" s="43" t="s">
        <v>1269</v>
      </c>
      <c r="J17" s="43" t="s">
        <v>1265</v>
      </c>
      <c r="K17" s="43" t="s">
        <v>1273</v>
      </c>
      <c r="L17" s="43" t="s">
        <v>1266</v>
      </c>
      <c r="M17" s="43" t="s">
        <v>1269</v>
      </c>
      <c r="N17" s="43" t="s">
        <v>1264</v>
      </c>
      <c r="O17" s="43" t="s">
        <v>1264</v>
      </c>
      <c r="P17" s="43" t="s">
        <v>1264</v>
      </c>
      <c r="Q17" s="43" t="s">
        <v>1268</v>
      </c>
      <c r="R17" s="43"/>
    </row>
    <row r="18" spans="1:18" x14ac:dyDescent="0.3">
      <c r="A18" s="78">
        <v>97</v>
      </c>
      <c r="B18" s="79" t="s">
        <v>235</v>
      </c>
      <c r="C18" s="80" t="s">
        <v>620</v>
      </c>
      <c r="D18" s="80" t="s">
        <v>619</v>
      </c>
      <c r="E18" s="74" t="s">
        <v>1227</v>
      </c>
      <c r="F18" s="81"/>
      <c r="G18" s="82"/>
      <c r="H18" s="82" t="s">
        <v>1329</v>
      </c>
      <c r="I18" s="82"/>
      <c r="J18" s="82"/>
      <c r="K18" s="82"/>
      <c r="L18" s="82"/>
      <c r="M18" s="82"/>
      <c r="N18" s="82"/>
      <c r="O18" s="82"/>
      <c r="P18" s="82"/>
      <c r="Q18" s="82"/>
      <c r="R18" s="77"/>
    </row>
    <row r="19" spans="1:18" ht="28.8" x14ac:dyDescent="0.3">
      <c r="A19" s="14">
        <v>102</v>
      </c>
      <c r="B19" s="16" t="s">
        <v>246</v>
      </c>
      <c r="C19" s="15" t="s">
        <v>659</v>
      </c>
      <c r="D19" s="15" t="s">
        <v>619</v>
      </c>
      <c r="E19" s="72" t="s">
        <v>1322</v>
      </c>
      <c r="F19" s="73">
        <v>45945</v>
      </c>
      <c r="G19" s="73" t="s">
        <v>1277</v>
      </c>
      <c r="H19" s="73" t="s">
        <v>1330</v>
      </c>
      <c r="I19" s="43" t="s">
        <v>1264</v>
      </c>
      <c r="J19" s="43" t="s">
        <v>1265</v>
      </c>
      <c r="K19" s="43" t="s">
        <v>1266</v>
      </c>
      <c r="L19" s="43" t="s">
        <v>1266</v>
      </c>
      <c r="M19" s="43" t="s">
        <v>1264</v>
      </c>
      <c r="N19" s="43" t="s">
        <v>1266</v>
      </c>
      <c r="O19" s="43" t="s">
        <v>1266</v>
      </c>
      <c r="P19" s="43" t="s">
        <v>1266</v>
      </c>
      <c r="Q19" s="43" t="s">
        <v>1268</v>
      </c>
      <c r="R19" s="43"/>
    </row>
    <row r="20" spans="1:18" x14ac:dyDescent="0.3">
      <c r="A20" s="78">
        <v>111</v>
      </c>
      <c r="B20" s="79" t="s">
        <v>266</v>
      </c>
      <c r="C20" s="80" t="s">
        <v>659</v>
      </c>
      <c r="D20" s="80" t="s">
        <v>1248</v>
      </c>
      <c r="E20" s="74" t="s">
        <v>1227</v>
      </c>
      <c r="F20" s="81"/>
      <c r="G20" s="82"/>
      <c r="H20" s="82" t="s">
        <v>1329</v>
      </c>
      <c r="I20" s="82"/>
      <c r="J20" s="82"/>
      <c r="K20" s="82"/>
      <c r="L20" s="82"/>
      <c r="M20" s="82"/>
      <c r="N20" s="82"/>
      <c r="O20" s="82"/>
      <c r="P20" s="82"/>
      <c r="Q20" s="82"/>
      <c r="R20" s="77"/>
    </row>
    <row r="21" spans="1:18" ht="28.8" x14ac:dyDescent="0.3">
      <c r="A21" s="14">
        <v>122</v>
      </c>
      <c r="B21" s="16" t="s">
        <v>288</v>
      </c>
      <c r="C21" s="15" t="s">
        <v>678</v>
      </c>
      <c r="D21" s="15" t="s">
        <v>1248</v>
      </c>
      <c r="E21" s="72" t="s">
        <v>1321</v>
      </c>
      <c r="F21" s="73">
        <v>45945</v>
      </c>
      <c r="G21" s="73" t="s">
        <v>1276</v>
      </c>
      <c r="H21" s="73" t="s">
        <v>1330</v>
      </c>
      <c r="I21" s="43" t="s">
        <v>1264</v>
      </c>
      <c r="J21" s="43" t="s">
        <v>1265</v>
      </c>
      <c r="K21" s="43" t="s">
        <v>1279</v>
      </c>
      <c r="L21" s="43" t="s">
        <v>1291</v>
      </c>
      <c r="M21" s="43" t="s">
        <v>1269</v>
      </c>
      <c r="N21" s="43" t="s">
        <v>1269</v>
      </c>
      <c r="O21" s="43" t="s">
        <v>1266</v>
      </c>
      <c r="P21" s="43" t="s">
        <v>1266</v>
      </c>
      <c r="Q21" s="43" t="s">
        <v>1268</v>
      </c>
      <c r="R21" s="43"/>
    </row>
    <row r="22" spans="1:18" x14ac:dyDescent="0.3">
      <c r="A22" s="14">
        <v>132</v>
      </c>
      <c r="B22" s="16" t="s">
        <v>308</v>
      </c>
      <c r="C22" s="15" t="s">
        <v>717</v>
      </c>
      <c r="D22" s="15" t="s">
        <v>1243</v>
      </c>
      <c r="E22" s="72" t="s">
        <v>1173</v>
      </c>
      <c r="F22" s="73">
        <v>45945</v>
      </c>
      <c r="G22" s="73" t="s">
        <v>1276</v>
      </c>
      <c r="H22" s="73" t="s">
        <v>1328</v>
      </c>
      <c r="I22" s="43" t="s">
        <v>1269</v>
      </c>
      <c r="J22" s="43" t="s">
        <v>1265</v>
      </c>
      <c r="K22" s="43" t="s">
        <v>1266</v>
      </c>
      <c r="L22" s="43" t="s">
        <v>1291</v>
      </c>
      <c r="M22" s="43" t="s">
        <v>1269</v>
      </c>
      <c r="N22" s="43" t="s">
        <v>1269</v>
      </c>
      <c r="O22" s="43" t="s">
        <v>1269</v>
      </c>
      <c r="P22" s="43" t="s">
        <v>1266</v>
      </c>
      <c r="Q22" s="43" t="s">
        <v>1268</v>
      </c>
      <c r="R22" s="43"/>
    </row>
    <row r="23" spans="1:18" x14ac:dyDescent="0.3">
      <c r="A23" s="14">
        <v>157</v>
      </c>
      <c r="B23" s="16" t="s">
        <v>359</v>
      </c>
      <c r="C23" s="15" t="s">
        <v>494</v>
      </c>
      <c r="D23" s="15" t="s">
        <v>1249</v>
      </c>
      <c r="E23" s="72" t="s">
        <v>1173</v>
      </c>
      <c r="F23" s="73">
        <v>45945</v>
      </c>
      <c r="G23" s="73" t="s">
        <v>1276</v>
      </c>
      <c r="H23" s="73" t="s">
        <v>1328</v>
      </c>
      <c r="I23" s="43" t="s">
        <v>1269</v>
      </c>
      <c r="J23" s="43" t="s">
        <v>1281</v>
      </c>
      <c r="K23" s="43" t="s">
        <v>1270</v>
      </c>
      <c r="L23" s="43" t="s">
        <v>1270</v>
      </c>
      <c r="M23" s="43" t="s">
        <v>1270</v>
      </c>
      <c r="N23" s="43" t="s">
        <v>1270</v>
      </c>
      <c r="O23" s="43" t="s">
        <v>1269</v>
      </c>
      <c r="P23" s="43" t="s">
        <v>1269</v>
      </c>
      <c r="Q23" s="43" t="s">
        <v>1268</v>
      </c>
      <c r="R23" s="43"/>
    </row>
    <row r="24" spans="1:18" ht="43.2" x14ac:dyDescent="0.3">
      <c r="A24" s="14">
        <v>159</v>
      </c>
      <c r="B24" s="16" t="s">
        <v>363</v>
      </c>
      <c r="C24" s="15" t="s">
        <v>494</v>
      </c>
      <c r="D24" s="15" t="s">
        <v>1241</v>
      </c>
      <c r="E24" s="72" t="s">
        <v>1173</v>
      </c>
      <c r="F24" s="73">
        <v>45945</v>
      </c>
      <c r="G24" s="73" t="s">
        <v>1276</v>
      </c>
      <c r="H24" s="73" t="s">
        <v>1328</v>
      </c>
      <c r="I24" s="43" t="s">
        <v>1269</v>
      </c>
      <c r="J24" s="43" t="s">
        <v>1265</v>
      </c>
      <c r="K24" s="43" t="s">
        <v>1273</v>
      </c>
      <c r="L24" s="43" t="s">
        <v>1267</v>
      </c>
      <c r="M24" s="43" t="s">
        <v>1269</v>
      </c>
      <c r="N24" s="43" t="s">
        <v>1264</v>
      </c>
      <c r="O24" s="43" t="s">
        <v>1269</v>
      </c>
      <c r="P24" s="43" t="s">
        <v>1269</v>
      </c>
      <c r="Q24" s="43" t="s">
        <v>1268</v>
      </c>
      <c r="R24" s="43"/>
    </row>
    <row r="25" spans="1:18" x14ac:dyDescent="0.3">
      <c r="A25" s="78">
        <v>163</v>
      </c>
      <c r="B25" s="79" t="s">
        <v>371</v>
      </c>
      <c r="C25" s="80" t="s">
        <v>643</v>
      </c>
      <c r="D25" s="80" t="s">
        <v>1244</v>
      </c>
      <c r="E25" s="74" t="s">
        <v>1227</v>
      </c>
      <c r="F25" s="81"/>
      <c r="G25" s="82"/>
      <c r="H25" s="82" t="s">
        <v>1329</v>
      </c>
      <c r="I25" s="82"/>
      <c r="J25" s="82"/>
      <c r="K25" s="82"/>
      <c r="L25" s="82"/>
      <c r="M25" s="82"/>
      <c r="N25" s="82"/>
      <c r="O25" s="82"/>
      <c r="P25" s="82"/>
      <c r="Q25" s="82"/>
      <c r="R25" s="77"/>
    </row>
    <row r="26" spans="1:18" x14ac:dyDescent="0.3">
      <c r="A26" s="14">
        <v>164</v>
      </c>
      <c r="B26" s="16" t="s">
        <v>373</v>
      </c>
      <c r="C26" s="15" t="s">
        <v>770</v>
      </c>
      <c r="D26" s="15" t="s">
        <v>1241</v>
      </c>
      <c r="E26" s="72" t="s">
        <v>1173</v>
      </c>
      <c r="F26" s="73">
        <v>45945</v>
      </c>
      <c r="G26" s="73" t="s">
        <v>1276</v>
      </c>
      <c r="H26" s="73" t="s">
        <v>1330</v>
      </c>
      <c r="I26" s="43" t="s">
        <v>1269</v>
      </c>
      <c r="J26" s="43" t="s">
        <v>1265</v>
      </c>
      <c r="K26" s="43" t="s">
        <v>1273</v>
      </c>
      <c r="L26" s="43" t="s">
        <v>1266</v>
      </c>
      <c r="M26" s="43" t="s">
        <v>1269</v>
      </c>
      <c r="N26" s="43" t="s">
        <v>1266</v>
      </c>
      <c r="O26" s="43" t="s">
        <v>1266</v>
      </c>
      <c r="P26" s="43" t="s">
        <v>1266</v>
      </c>
      <c r="Q26" s="43" t="s">
        <v>1268</v>
      </c>
      <c r="R26" s="43"/>
    </row>
    <row r="27" spans="1:18" x14ac:dyDescent="0.3">
      <c r="A27" s="14">
        <v>184</v>
      </c>
      <c r="B27" s="16" t="s">
        <v>417</v>
      </c>
      <c r="C27" s="15" t="s">
        <v>691</v>
      </c>
      <c r="D27" s="15" t="s">
        <v>1248</v>
      </c>
      <c r="E27" s="72" t="s">
        <v>1173</v>
      </c>
      <c r="F27" s="73">
        <v>45945</v>
      </c>
      <c r="G27" s="73" t="s">
        <v>1276</v>
      </c>
      <c r="H27" s="73" t="s">
        <v>1330</v>
      </c>
      <c r="I27" s="43" t="s">
        <v>1269</v>
      </c>
      <c r="J27" s="43" t="s">
        <v>1265</v>
      </c>
      <c r="K27" s="43" t="s">
        <v>1273</v>
      </c>
      <c r="L27" s="43" t="s">
        <v>1291</v>
      </c>
      <c r="M27" s="43" t="s">
        <v>1269</v>
      </c>
      <c r="N27" s="43" t="s">
        <v>1266</v>
      </c>
      <c r="O27" s="43" t="s">
        <v>1264</v>
      </c>
      <c r="P27" s="43" t="s">
        <v>1264</v>
      </c>
      <c r="Q27" s="43" t="s">
        <v>1268</v>
      </c>
      <c r="R27" s="43"/>
    </row>
    <row r="28" spans="1:18" x14ac:dyDescent="0.3">
      <c r="A28" s="14">
        <v>199</v>
      </c>
      <c r="B28" s="16" t="s">
        <v>447</v>
      </c>
      <c r="C28" s="15" t="s">
        <v>494</v>
      </c>
      <c r="D28" s="15" t="s">
        <v>619</v>
      </c>
      <c r="E28" s="72" t="s">
        <v>1173</v>
      </c>
      <c r="F28" s="73">
        <v>45945</v>
      </c>
      <c r="G28" s="73" t="s">
        <v>1276</v>
      </c>
      <c r="H28" s="73" t="s">
        <v>1330</v>
      </c>
      <c r="I28" s="43" t="s">
        <v>1269</v>
      </c>
      <c r="J28" s="43" t="s">
        <v>1265</v>
      </c>
      <c r="K28" s="43" t="s">
        <v>1273</v>
      </c>
      <c r="L28" s="43" t="s">
        <v>1266</v>
      </c>
      <c r="M28" s="43" t="s">
        <v>1264</v>
      </c>
      <c r="N28" s="43" t="s">
        <v>1269</v>
      </c>
      <c r="O28" s="43" t="s">
        <v>1266</v>
      </c>
      <c r="P28" s="43" t="s">
        <v>1264</v>
      </c>
      <c r="Q28" s="43" t="s">
        <v>1268</v>
      </c>
      <c r="R28" s="43"/>
    </row>
    <row r="29" spans="1:18" ht="15" thickBot="1" x14ac:dyDescent="0.35">
      <c r="A29" s="26">
        <v>213</v>
      </c>
      <c r="B29" s="28" t="s">
        <v>477</v>
      </c>
      <c r="C29" s="27" t="s">
        <v>814</v>
      </c>
      <c r="D29" s="27" t="s">
        <v>1244</v>
      </c>
      <c r="E29" s="75" t="s">
        <v>1173</v>
      </c>
      <c r="F29" s="76">
        <v>45945</v>
      </c>
      <c r="G29" s="76" t="s">
        <v>1276</v>
      </c>
      <c r="H29" s="76" t="s">
        <v>1328</v>
      </c>
      <c r="I29" s="51" t="s">
        <v>1269</v>
      </c>
      <c r="J29" s="51" t="s">
        <v>1265</v>
      </c>
      <c r="K29" s="51" t="s">
        <v>1273</v>
      </c>
      <c r="L29" s="51" t="s">
        <v>1267</v>
      </c>
      <c r="M29" s="51" t="s">
        <v>1269</v>
      </c>
      <c r="N29" s="51" t="s">
        <v>1269</v>
      </c>
      <c r="O29" s="51" t="s">
        <v>1264</v>
      </c>
      <c r="P29" s="51" t="s">
        <v>1264</v>
      </c>
      <c r="Q29" s="51" t="s">
        <v>1268</v>
      </c>
      <c r="R29" s="51"/>
    </row>
  </sheetData>
  <autoFilter ref="A2:R29" xr:uid="{FC0214A7-68B1-4572-9769-570ED03B11E2}"/>
  <mergeCells count="3">
    <mergeCell ref="E1:H1"/>
    <mergeCell ref="I1:R1"/>
    <mergeCell ref="A1:D1"/>
  </mergeCells>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58AE-5528-4153-9BB7-54C9B761D585}">
  <dimension ref="A1:N37"/>
  <sheetViews>
    <sheetView zoomScaleNormal="100" workbookViewId="0">
      <pane ySplit="2" topLeftCell="A3" activePane="bottomLeft" state="frozen"/>
      <selection pane="bottomLeft" activeCell="F25" sqref="F25"/>
    </sheetView>
  </sheetViews>
  <sheetFormatPr baseColWidth="10" defaultRowHeight="14.4" x14ac:dyDescent="0.3"/>
  <cols>
    <col min="1" max="1" width="7.44140625" style="32" bestFit="1" customWidth="1"/>
    <col min="2" max="2" width="62.21875" style="1" bestFit="1" customWidth="1"/>
    <col min="3" max="13" width="20" style="1" customWidth="1"/>
    <col min="14" max="14" width="21.33203125" style="1" customWidth="1"/>
    <col min="15" max="16384" width="11.5546875" style="1"/>
  </cols>
  <sheetData>
    <row r="1" spans="1:14" x14ac:dyDescent="0.3">
      <c r="A1" s="96" t="s">
        <v>13</v>
      </c>
      <c r="B1" s="97"/>
      <c r="C1" s="104"/>
      <c r="D1" s="104"/>
      <c r="E1" s="104"/>
      <c r="F1" s="104"/>
      <c r="G1" s="104"/>
      <c r="H1" s="104"/>
      <c r="I1" s="104"/>
      <c r="J1" s="104"/>
      <c r="K1" s="104"/>
      <c r="L1" s="104"/>
      <c r="M1" s="104"/>
      <c r="N1" s="105"/>
    </row>
    <row r="2" spans="1:14" ht="15.6" x14ac:dyDescent="0.3">
      <c r="A2" s="2" t="s">
        <v>10</v>
      </c>
      <c r="B2" s="3" t="s">
        <v>0</v>
      </c>
      <c r="C2" s="52" t="s">
        <v>1173</v>
      </c>
      <c r="D2" s="52" t="s">
        <v>1229</v>
      </c>
      <c r="E2" s="52" t="s">
        <v>1230</v>
      </c>
      <c r="F2" s="52" t="s">
        <v>1398</v>
      </c>
      <c r="G2" s="52" t="s">
        <v>1231</v>
      </c>
      <c r="H2" s="52" t="s">
        <v>1232</v>
      </c>
      <c r="I2" s="52" t="s">
        <v>1233</v>
      </c>
      <c r="J2" s="52" t="s">
        <v>1236</v>
      </c>
      <c r="K2" s="52" t="s">
        <v>1237</v>
      </c>
      <c r="L2" s="52" t="s">
        <v>1238</v>
      </c>
      <c r="M2" s="52" t="s">
        <v>1239</v>
      </c>
      <c r="N2" s="63" t="s">
        <v>1235</v>
      </c>
    </row>
    <row r="3" spans="1:14" x14ac:dyDescent="0.3">
      <c r="A3" s="14">
        <v>19</v>
      </c>
      <c r="B3" s="15" t="s">
        <v>67</v>
      </c>
      <c r="C3" s="54" t="s">
        <v>1226</v>
      </c>
      <c r="D3" s="60"/>
      <c r="E3" s="60">
        <v>57</v>
      </c>
      <c r="F3" s="60">
        <f t="shared" ref="F3:F17" si="0">100-E3</f>
        <v>43</v>
      </c>
      <c r="G3" s="60">
        <v>7.25</v>
      </c>
      <c r="H3" s="60">
        <v>9.4</v>
      </c>
      <c r="I3" s="60">
        <v>6.98</v>
      </c>
      <c r="J3" s="60">
        <v>0</v>
      </c>
      <c r="K3" s="60">
        <v>0</v>
      </c>
      <c r="L3" s="60">
        <v>0</v>
      </c>
      <c r="M3" s="60">
        <v>0</v>
      </c>
      <c r="N3" s="64">
        <v>0</v>
      </c>
    </row>
    <row r="4" spans="1:14" x14ac:dyDescent="0.3">
      <c r="A4" s="14">
        <v>21</v>
      </c>
      <c r="B4" s="15" t="s">
        <v>71</v>
      </c>
      <c r="C4" s="54" t="s">
        <v>1226</v>
      </c>
      <c r="D4" s="60"/>
      <c r="E4" s="60">
        <v>46</v>
      </c>
      <c r="F4" s="60">
        <f t="shared" si="0"/>
        <v>54</v>
      </c>
      <c r="G4" s="60">
        <v>11.14</v>
      </c>
      <c r="H4" s="60">
        <v>12.4</v>
      </c>
      <c r="I4" s="60">
        <v>10.69</v>
      </c>
      <c r="J4" s="60">
        <v>0.2558139534883721</v>
      </c>
      <c r="K4" s="60">
        <v>0.33826086956521745</v>
      </c>
      <c r="L4" s="60">
        <v>0.35714285714285715</v>
      </c>
      <c r="M4" s="60">
        <v>0.37361530715005026</v>
      </c>
      <c r="N4" s="64">
        <v>0.33120824683662425</v>
      </c>
    </row>
    <row r="5" spans="1:14" x14ac:dyDescent="0.3">
      <c r="A5" s="14">
        <v>24</v>
      </c>
      <c r="B5" s="15" t="s">
        <v>80</v>
      </c>
      <c r="C5" s="54" t="s">
        <v>1226</v>
      </c>
      <c r="D5" s="60"/>
      <c r="E5" s="60">
        <v>21</v>
      </c>
      <c r="F5" s="60">
        <f t="shared" si="0"/>
        <v>79</v>
      </c>
      <c r="G5" s="60">
        <v>14.54</v>
      </c>
      <c r="H5" s="60">
        <v>14.9</v>
      </c>
      <c r="I5" s="60">
        <v>11.75</v>
      </c>
      <c r="J5" s="60">
        <v>0.83720930232558144</v>
      </c>
      <c r="K5" s="60">
        <v>0.63391304347826083</v>
      </c>
      <c r="L5" s="60">
        <v>0.65476190476190477</v>
      </c>
      <c r="M5" s="60">
        <v>0.48036253776435045</v>
      </c>
      <c r="N5" s="64">
        <v>0.65156169708252432</v>
      </c>
    </row>
    <row r="6" spans="1:14" x14ac:dyDescent="0.3">
      <c r="A6" s="14">
        <v>26</v>
      </c>
      <c r="B6" s="15" t="s">
        <v>84</v>
      </c>
      <c r="C6" s="54" t="s">
        <v>1226</v>
      </c>
      <c r="D6" s="60"/>
      <c r="E6" s="60">
        <v>45</v>
      </c>
      <c r="F6" s="60">
        <f t="shared" si="0"/>
        <v>55</v>
      </c>
      <c r="G6" s="60">
        <v>11.32</v>
      </c>
      <c r="H6" s="60">
        <v>11.5</v>
      </c>
      <c r="I6" s="60">
        <v>10.85</v>
      </c>
      <c r="J6" s="60">
        <v>0.27906976744186046</v>
      </c>
      <c r="K6" s="60">
        <v>0.35391304347826091</v>
      </c>
      <c r="L6" s="60">
        <v>0.24999999999999994</v>
      </c>
      <c r="M6" s="60">
        <v>0.38972809667673708</v>
      </c>
      <c r="N6" s="64">
        <v>0.31817772689921464</v>
      </c>
    </row>
    <row r="7" spans="1:14" x14ac:dyDescent="0.3">
      <c r="A7" s="14">
        <v>39</v>
      </c>
      <c r="B7" s="15" t="s">
        <v>113</v>
      </c>
      <c r="C7" s="54" t="s">
        <v>1226</v>
      </c>
      <c r="D7" s="60"/>
      <c r="E7" s="60">
        <v>43</v>
      </c>
      <c r="F7" s="60">
        <f t="shared" si="0"/>
        <v>57</v>
      </c>
      <c r="G7" s="60">
        <v>10.89</v>
      </c>
      <c r="H7" s="60">
        <v>12.7</v>
      </c>
      <c r="I7" s="60">
        <v>10.69</v>
      </c>
      <c r="J7" s="60">
        <v>0.32558139534883723</v>
      </c>
      <c r="K7" s="60">
        <v>0.31652173913043485</v>
      </c>
      <c r="L7" s="60">
        <v>0.39285714285714274</v>
      </c>
      <c r="M7" s="60">
        <v>0.37361530715005026</v>
      </c>
      <c r="N7" s="64">
        <v>0.35214389612161628</v>
      </c>
    </row>
    <row r="8" spans="1:14" x14ac:dyDescent="0.3">
      <c r="A8" s="14">
        <v>41</v>
      </c>
      <c r="B8" s="15" t="s">
        <v>117</v>
      </c>
      <c r="C8" s="54" t="s">
        <v>1226</v>
      </c>
      <c r="D8" s="60"/>
      <c r="E8" s="60">
        <v>40</v>
      </c>
      <c r="F8" s="60">
        <f t="shared" si="0"/>
        <v>60</v>
      </c>
      <c r="G8" s="60">
        <v>14.2</v>
      </c>
      <c r="H8" s="60">
        <v>13.3</v>
      </c>
      <c r="I8" s="60">
        <v>12.73</v>
      </c>
      <c r="J8" s="60">
        <v>0.39534883720930231</v>
      </c>
      <c r="K8" s="60">
        <v>0.60434782608695647</v>
      </c>
      <c r="L8" s="60">
        <v>0.4642857142857143</v>
      </c>
      <c r="M8" s="60">
        <v>0.57905337361530718</v>
      </c>
      <c r="N8" s="64">
        <v>0.51075893779932002</v>
      </c>
    </row>
    <row r="9" spans="1:14" x14ac:dyDescent="0.3">
      <c r="A9" s="14">
        <v>43</v>
      </c>
      <c r="B9" s="15" t="s">
        <v>121</v>
      </c>
      <c r="C9" s="54" t="s">
        <v>1226</v>
      </c>
      <c r="D9" s="60"/>
      <c r="E9" s="60">
        <v>31</v>
      </c>
      <c r="F9" s="60">
        <f t="shared" si="0"/>
        <v>69</v>
      </c>
      <c r="G9" s="60">
        <v>15.75</v>
      </c>
      <c r="H9" s="60">
        <v>14.6</v>
      </c>
      <c r="I9" s="60">
        <v>13.98</v>
      </c>
      <c r="J9" s="60">
        <v>0.60465116279069764</v>
      </c>
      <c r="K9" s="60">
        <v>0.73913043478260865</v>
      </c>
      <c r="L9" s="60">
        <v>0.61904761904761896</v>
      </c>
      <c r="M9" s="60">
        <v>0.70493454179254789</v>
      </c>
      <c r="N9" s="64">
        <v>0.66694093960336831</v>
      </c>
    </row>
    <row r="10" spans="1:14" x14ac:dyDescent="0.3">
      <c r="A10" s="14">
        <v>46</v>
      </c>
      <c r="B10" s="15" t="s">
        <v>128</v>
      </c>
      <c r="C10" s="54" t="s">
        <v>1226</v>
      </c>
      <c r="D10" s="60"/>
      <c r="E10" s="60">
        <v>33</v>
      </c>
      <c r="F10" s="60">
        <f t="shared" si="0"/>
        <v>67</v>
      </c>
      <c r="G10" s="60">
        <v>14.53</v>
      </c>
      <c r="H10" s="60">
        <v>14.4</v>
      </c>
      <c r="I10" s="60">
        <v>12.98</v>
      </c>
      <c r="J10" s="60">
        <v>0.55813953488372092</v>
      </c>
      <c r="K10" s="60">
        <v>0.63304347826086949</v>
      </c>
      <c r="L10" s="60">
        <v>0.59523809523809523</v>
      </c>
      <c r="M10" s="60">
        <v>0.60422960725075525</v>
      </c>
      <c r="N10" s="64">
        <v>0.59766267890836022</v>
      </c>
    </row>
    <row r="11" spans="1:14" x14ac:dyDescent="0.3">
      <c r="A11" s="14">
        <v>47</v>
      </c>
      <c r="B11" s="15" t="s">
        <v>130</v>
      </c>
      <c r="C11" s="54" t="s">
        <v>1226</v>
      </c>
      <c r="D11" s="60"/>
      <c r="E11" s="60">
        <v>14</v>
      </c>
      <c r="F11" s="60">
        <f t="shared" si="0"/>
        <v>86</v>
      </c>
      <c r="G11" s="60">
        <v>18.010000000000002</v>
      </c>
      <c r="H11" s="60">
        <v>16.399999999999999</v>
      </c>
      <c r="I11" s="60">
        <v>16.14</v>
      </c>
      <c r="J11" s="60">
        <v>1</v>
      </c>
      <c r="K11" s="60">
        <v>0.93565217391304356</v>
      </c>
      <c r="L11" s="60">
        <v>0.83333333333333304</v>
      </c>
      <c r="M11" s="60">
        <v>0.92245720040281975</v>
      </c>
      <c r="N11" s="64">
        <v>0.92286067691229912</v>
      </c>
    </row>
    <row r="12" spans="1:14" x14ac:dyDescent="0.3">
      <c r="A12" s="14">
        <v>58</v>
      </c>
      <c r="B12" s="15" t="s">
        <v>154</v>
      </c>
      <c r="C12" s="54" t="s">
        <v>1226</v>
      </c>
      <c r="D12" s="60"/>
      <c r="E12" s="60">
        <v>51</v>
      </c>
      <c r="F12" s="60">
        <f t="shared" si="0"/>
        <v>49</v>
      </c>
      <c r="G12" s="60">
        <v>9.01</v>
      </c>
      <c r="H12" s="60">
        <v>10.9</v>
      </c>
      <c r="I12" s="60">
        <v>8.98</v>
      </c>
      <c r="J12" s="60">
        <v>0.13953488372093023</v>
      </c>
      <c r="K12" s="60">
        <v>0.15304347826086956</v>
      </c>
      <c r="L12" s="60">
        <v>0.17857142857142858</v>
      </c>
      <c r="M12" s="60">
        <v>0.2014098690835851</v>
      </c>
      <c r="N12" s="64">
        <v>0.16813991490920338</v>
      </c>
    </row>
    <row r="13" spans="1:14" x14ac:dyDescent="0.3">
      <c r="A13" s="14">
        <v>59</v>
      </c>
      <c r="B13" s="15" t="s">
        <v>156</v>
      </c>
      <c r="C13" s="54" t="s">
        <v>1226</v>
      </c>
      <c r="D13" s="60"/>
      <c r="E13" s="60">
        <v>33</v>
      </c>
      <c r="F13" s="60">
        <f t="shared" si="0"/>
        <v>67</v>
      </c>
      <c r="G13" s="60">
        <v>15.27</v>
      </c>
      <c r="H13" s="60">
        <v>13.8</v>
      </c>
      <c r="I13" s="60">
        <v>14.02</v>
      </c>
      <c r="J13" s="60">
        <v>0.55813953488372092</v>
      </c>
      <c r="K13" s="60">
        <v>0.69739130434782604</v>
      </c>
      <c r="L13" s="60">
        <v>0.52380952380952384</v>
      </c>
      <c r="M13" s="60">
        <v>0.70896273917421948</v>
      </c>
      <c r="N13" s="64">
        <v>0.62207577555382265</v>
      </c>
    </row>
    <row r="14" spans="1:14" x14ac:dyDescent="0.3">
      <c r="A14" s="14">
        <v>65</v>
      </c>
      <c r="B14" s="15" t="s">
        <v>168</v>
      </c>
      <c r="C14" s="54" t="s">
        <v>1226</v>
      </c>
      <c r="D14" s="60"/>
      <c r="E14" s="60">
        <v>28</v>
      </c>
      <c r="F14" s="60">
        <f t="shared" si="0"/>
        <v>72</v>
      </c>
      <c r="G14" s="60">
        <v>13.42</v>
      </c>
      <c r="H14" s="60">
        <v>13.9</v>
      </c>
      <c r="I14" s="60">
        <v>12.45</v>
      </c>
      <c r="J14" s="60">
        <v>0.67441860465116277</v>
      </c>
      <c r="K14" s="60">
        <v>0.53652173913043477</v>
      </c>
      <c r="L14" s="60">
        <v>0.5357142857142857</v>
      </c>
      <c r="M14" s="60">
        <v>0.55085599194360513</v>
      </c>
      <c r="N14" s="64">
        <v>0.57437765535987206</v>
      </c>
    </row>
    <row r="15" spans="1:14" x14ac:dyDescent="0.3">
      <c r="A15" s="14">
        <v>67</v>
      </c>
      <c r="B15" s="15" t="s">
        <v>172</v>
      </c>
      <c r="C15" s="54" t="s">
        <v>1226</v>
      </c>
      <c r="D15" s="60"/>
      <c r="E15" s="60">
        <v>50</v>
      </c>
      <c r="F15" s="60">
        <f t="shared" si="0"/>
        <v>50</v>
      </c>
      <c r="G15" s="60">
        <v>9.32</v>
      </c>
      <c r="H15" s="60">
        <v>11</v>
      </c>
      <c r="I15" s="60">
        <v>8.39</v>
      </c>
      <c r="J15" s="60">
        <v>0.16279069767441862</v>
      </c>
      <c r="K15" s="60">
        <v>0.18000000000000002</v>
      </c>
      <c r="L15" s="60">
        <v>0.19047619047619044</v>
      </c>
      <c r="M15" s="60">
        <v>0.1419939577039275</v>
      </c>
      <c r="N15" s="64">
        <v>0.16881521146363415</v>
      </c>
    </row>
    <row r="16" spans="1:14" x14ac:dyDescent="0.3">
      <c r="A16" s="14">
        <v>74</v>
      </c>
      <c r="B16" s="15" t="s">
        <v>187</v>
      </c>
      <c r="C16" s="54" t="s">
        <v>1226</v>
      </c>
      <c r="D16" s="60"/>
      <c r="E16" s="60">
        <v>52</v>
      </c>
      <c r="F16" s="60">
        <f t="shared" si="0"/>
        <v>48</v>
      </c>
      <c r="G16" s="60">
        <v>9.41</v>
      </c>
      <c r="H16" s="60">
        <v>10.4</v>
      </c>
      <c r="I16" s="60">
        <v>8.9</v>
      </c>
      <c r="J16" s="60">
        <v>0.11627906976744186</v>
      </c>
      <c r="K16" s="60">
        <v>0.18782608695652175</v>
      </c>
      <c r="L16" s="60">
        <v>0.11904761904761904</v>
      </c>
      <c r="M16" s="60">
        <v>0.19335347432024169</v>
      </c>
      <c r="N16" s="64">
        <v>0.15412656252295609</v>
      </c>
    </row>
    <row r="17" spans="1:14" x14ac:dyDescent="0.3">
      <c r="A17" s="14">
        <v>94</v>
      </c>
      <c r="B17" s="15" t="s">
        <v>228</v>
      </c>
      <c r="C17" s="54" t="s">
        <v>1226</v>
      </c>
      <c r="D17" s="60"/>
      <c r="E17" s="60">
        <v>23</v>
      </c>
      <c r="F17" s="60">
        <f t="shared" si="0"/>
        <v>77</v>
      </c>
      <c r="G17" s="60">
        <v>14.55</v>
      </c>
      <c r="H17" s="60">
        <v>14.4</v>
      </c>
      <c r="I17" s="60">
        <v>12.46</v>
      </c>
      <c r="J17" s="60">
        <v>0.79069767441860461</v>
      </c>
      <c r="K17" s="60">
        <v>0.63478260869565228</v>
      </c>
      <c r="L17" s="60">
        <v>0.59523809523809523</v>
      </c>
      <c r="M17" s="60">
        <v>0.55186304128902319</v>
      </c>
      <c r="N17" s="64">
        <v>0.64314535491034386</v>
      </c>
    </row>
    <row r="18" spans="1:14" x14ac:dyDescent="0.3">
      <c r="A18" s="58">
        <v>97</v>
      </c>
      <c r="B18" s="59" t="s">
        <v>235</v>
      </c>
      <c r="C18" s="59" t="s">
        <v>1227</v>
      </c>
      <c r="D18" s="61"/>
      <c r="E18" s="61"/>
      <c r="F18" s="61"/>
      <c r="G18" s="61"/>
      <c r="H18" s="61"/>
      <c r="I18" s="61"/>
      <c r="J18" s="61"/>
      <c r="K18" s="61"/>
      <c r="L18" s="61"/>
      <c r="M18" s="61"/>
      <c r="N18" s="65"/>
    </row>
    <row r="19" spans="1:14" x14ac:dyDescent="0.3">
      <c r="A19" s="14">
        <v>102</v>
      </c>
      <c r="B19" s="15" t="s">
        <v>246</v>
      </c>
      <c r="C19" s="54" t="s">
        <v>1226</v>
      </c>
      <c r="D19" s="60"/>
      <c r="E19" s="60">
        <v>15</v>
      </c>
      <c r="F19" s="60">
        <f>100-E19</f>
        <v>85</v>
      </c>
      <c r="G19" s="60">
        <v>18.75</v>
      </c>
      <c r="H19" s="60">
        <v>17.8</v>
      </c>
      <c r="I19" s="60">
        <v>16.91</v>
      </c>
      <c r="J19" s="60">
        <v>0.97674418604651159</v>
      </c>
      <c r="K19" s="60">
        <v>1</v>
      </c>
      <c r="L19" s="60">
        <v>1</v>
      </c>
      <c r="M19" s="60">
        <v>1</v>
      </c>
      <c r="N19" s="64">
        <v>0.9941860465116279</v>
      </c>
    </row>
    <row r="20" spans="1:14" x14ac:dyDescent="0.3">
      <c r="A20" s="58">
        <v>111</v>
      </c>
      <c r="B20" s="59" t="s">
        <v>266</v>
      </c>
      <c r="C20" s="59" t="s">
        <v>1227</v>
      </c>
      <c r="D20" s="61"/>
      <c r="E20" s="61"/>
      <c r="F20" s="61"/>
      <c r="G20" s="61"/>
      <c r="H20" s="61"/>
      <c r="I20" s="61"/>
      <c r="J20" s="61"/>
      <c r="K20" s="61"/>
      <c r="L20" s="61"/>
      <c r="M20" s="61"/>
      <c r="N20" s="65"/>
    </row>
    <row r="21" spans="1:14" x14ac:dyDescent="0.3">
      <c r="A21" s="14">
        <v>122</v>
      </c>
      <c r="B21" s="15" t="s">
        <v>288</v>
      </c>
      <c r="C21" s="54" t="s">
        <v>1226</v>
      </c>
      <c r="D21" s="60"/>
      <c r="E21" s="60">
        <v>53</v>
      </c>
      <c r="F21" s="60">
        <f>100-E21</f>
        <v>47</v>
      </c>
      <c r="G21" s="60">
        <v>9.9600000000000009</v>
      </c>
      <c r="H21" s="60">
        <v>10.4</v>
      </c>
      <c r="I21" s="60">
        <v>9.0500000000000007</v>
      </c>
      <c r="J21" s="60">
        <v>9.3023255813953487E-2</v>
      </c>
      <c r="K21" s="60">
        <v>0.23565217391304355</v>
      </c>
      <c r="L21" s="60">
        <v>0.11904761904761904</v>
      </c>
      <c r="M21" s="60">
        <v>0.20845921450151061</v>
      </c>
      <c r="N21" s="64">
        <v>0.16404556581903168</v>
      </c>
    </row>
    <row r="22" spans="1:14" x14ac:dyDescent="0.3">
      <c r="A22" s="14">
        <v>132</v>
      </c>
      <c r="B22" s="15" t="s">
        <v>308</v>
      </c>
      <c r="C22" s="54" t="s">
        <v>1226</v>
      </c>
      <c r="D22" s="60"/>
      <c r="E22" s="60">
        <v>46</v>
      </c>
      <c r="F22" s="60">
        <f>100-E22</f>
        <v>54</v>
      </c>
      <c r="G22" s="60">
        <v>11.24</v>
      </c>
      <c r="H22" s="60">
        <v>11.6</v>
      </c>
      <c r="I22" s="60">
        <v>10.56</v>
      </c>
      <c r="J22" s="60">
        <v>0.2558139534883721</v>
      </c>
      <c r="K22" s="60">
        <v>0.34695652173913044</v>
      </c>
      <c r="L22" s="60">
        <v>0.26190476190476181</v>
      </c>
      <c r="M22" s="60">
        <v>0.36052366565961735</v>
      </c>
      <c r="N22" s="64">
        <v>0.30629972569797043</v>
      </c>
    </row>
    <row r="23" spans="1:14" x14ac:dyDescent="0.3">
      <c r="A23" s="14">
        <v>157</v>
      </c>
      <c r="B23" s="15" t="s">
        <v>359</v>
      </c>
      <c r="C23" s="54" t="s">
        <v>1226</v>
      </c>
      <c r="D23" s="60"/>
      <c r="E23" s="60">
        <v>47</v>
      </c>
      <c r="F23" s="60">
        <f>100-E23</f>
        <v>53</v>
      </c>
      <c r="G23" s="60">
        <v>9.35</v>
      </c>
      <c r="H23" s="60">
        <v>12.5</v>
      </c>
      <c r="I23" s="60">
        <v>8.98</v>
      </c>
      <c r="J23" s="60">
        <v>0.23255813953488372</v>
      </c>
      <c r="K23" s="60">
        <v>0.18260869565217389</v>
      </c>
      <c r="L23" s="60">
        <v>0.36904761904761901</v>
      </c>
      <c r="M23" s="60">
        <v>0.2014098690835851</v>
      </c>
      <c r="N23" s="64">
        <v>0.24640608082956544</v>
      </c>
    </row>
    <row r="24" spans="1:14" x14ac:dyDescent="0.3">
      <c r="A24" s="14">
        <v>159</v>
      </c>
      <c r="B24" s="15" t="s">
        <v>363</v>
      </c>
      <c r="C24" s="54" t="s">
        <v>1226</v>
      </c>
      <c r="D24" s="60"/>
      <c r="E24" s="60">
        <v>47</v>
      </c>
      <c r="F24" s="60">
        <f>100-E24</f>
        <v>53</v>
      </c>
      <c r="G24" s="60">
        <v>10.58</v>
      </c>
      <c r="H24" s="60">
        <v>11.8</v>
      </c>
      <c r="I24" s="60">
        <v>10.42</v>
      </c>
      <c r="J24" s="60">
        <v>0.23255813953488372</v>
      </c>
      <c r="K24" s="60">
        <v>0.28956521739130436</v>
      </c>
      <c r="L24" s="60">
        <v>0.28571428571428575</v>
      </c>
      <c r="M24" s="60">
        <v>0.34642497482376633</v>
      </c>
      <c r="N24" s="64">
        <v>0.28856565436606008</v>
      </c>
    </row>
    <row r="25" spans="1:14" x14ac:dyDescent="0.3">
      <c r="A25" s="58">
        <v>163</v>
      </c>
      <c r="B25" s="59" t="s">
        <v>371</v>
      </c>
      <c r="C25" s="59" t="s">
        <v>1227</v>
      </c>
      <c r="D25" s="61"/>
      <c r="E25" s="61"/>
      <c r="F25" s="61"/>
      <c r="G25" s="61"/>
      <c r="H25" s="61"/>
      <c r="I25" s="61"/>
      <c r="J25" s="61"/>
      <c r="K25" s="61"/>
      <c r="L25" s="61"/>
      <c r="M25" s="61"/>
      <c r="N25" s="65"/>
    </row>
    <row r="26" spans="1:14" x14ac:dyDescent="0.3">
      <c r="A26" s="14">
        <v>164</v>
      </c>
      <c r="B26" s="15" t="s">
        <v>373</v>
      </c>
      <c r="C26" s="54" t="s">
        <v>1226</v>
      </c>
      <c r="D26" s="60"/>
      <c r="E26" s="60">
        <v>52</v>
      </c>
      <c r="F26" s="60">
        <f>100-E26</f>
        <v>48</v>
      </c>
      <c r="G26" s="60">
        <v>8.8800000000000008</v>
      </c>
      <c r="H26" s="60">
        <v>11</v>
      </c>
      <c r="I26" s="60">
        <v>8.74</v>
      </c>
      <c r="J26" s="60">
        <v>0.11627906976744186</v>
      </c>
      <c r="K26" s="60">
        <v>0.14173913043478267</v>
      </c>
      <c r="L26" s="60">
        <v>0.19047619047619044</v>
      </c>
      <c r="M26" s="60">
        <v>0.17724068479355487</v>
      </c>
      <c r="N26" s="64">
        <v>0.15643376886799248</v>
      </c>
    </row>
    <row r="27" spans="1:14" x14ac:dyDescent="0.3">
      <c r="A27" s="14">
        <v>184</v>
      </c>
      <c r="B27" s="15" t="s">
        <v>417</v>
      </c>
      <c r="C27" s="54" t="s">
        <v>1226</v>
      </c>
      <c r="D27" s="60"/>
      <c r="E27" s="60">
        <v>45</v>
      </c>
      <c r="F27" s="60">
        <f>100-E27</f>
        <v>55</v>
      </c>
      <c r="G27" s="60">
        <v>11.19</v>
      </c>
      <c r="H27" s="60">
        <v>11.9</v>
      </c>
      <c r="I27" s="60">
        <v>10.62</v>
      </c>
      <c r="J27" s="60">
        <v>0.27906976744186046</v>
      </c>
      <c r="K27" s="60">
        <v>0.34260869565217389</v>
      </c>
      <c r="L27" s="60">
        <v>0.29761904761904762</v>
      </c>
      <c r="M27" s="60">
        <v>0.36656596173212475</v>
      </c>
      <c r="N27" s="64">
        <v>0.32146586811130173</v>
      </c>
    </row>
    <row r="28" spans="1:14" x14ac:dyDescent="0.3">
      <c r="A28" s="14">
        <v>199</v>
      </c>
      <c r="B28" s="15" t="s">
        <v>447</v>
      </c>
      <c r="C28" s="54" t="s">
        <v>1226</v>
      </c>
      <c r="D28" s="60"/>
      <c r="E28" s="60">
        <v>52</v>
      </c>
      <c r="F28" s="60">
        <f>100-E28</f>
        <v>48</v>
      </c>
      <c r="G28" s="60">
        <v>8.66</v>
      </c>
      <c r="H28" s="60">
        <v>10.7</v>
      </c>
      <c r="I28" s="60">
        <v>8.2899999999999991</v>
      </c>
      <c r="J28" s="60">
        <v>0.11627906976744186</v>
      </c>
      <c r="K28" s="60">
        <v>0.12260869565217393</v>
      </c>
      <c r="L28" s="60">
        <v>0.15476190476190463</v>
      </c>
      <c r="M28" s="60">
        <v>0.1319234642497481</v>
      </c>
      <c r="N28" s="64">
        <v>0.13139328360781713</v>
      </c>
    </row>
    <row r="29" spans="1:14" ht="15" thickBot="1" x14ac:dyDescent="0.35">
      <c r="A29" s="26">
        <v>213</v>
      </c>
      <c r="B29" s="27" t="s">
        <v>477</v>
      </c>
      <c r="C29" s="56" t="s">
        <v>1226</v>
      </c>
      <c r="D29" s="62"/>
      <c r="E29" s="62">
        <v>24</v>
      </c>
      <c r="F29" s="62">
        <f>100-E29</f>
        <v>76</v>
      </c>
      <c r="G29" s="62">
        <v>17.22</v>
      </c>
      <c r="H29" s="62">
        <v>15.2</v>
      </c>
      <c r="I29" s="62">
        <v>15.32</v>
      </c>
      <c r="J29" s="62">
        <v>0.76744186046511631</v>
      </c>
      <c r="K29" s="62">
        <v>0.86695652173913029</v>
      </c>
      <c r="L29" s="62">
        <v>0.69047619047619035</v>
      </c>
      <c r="M29" s="62">
        <v>0.83987915407854985</v>
      </c>
      <c r="N29" s="66">
        <v>0.79118843168974662</v>
      </c>
    </row>
    <row r="31" spans="1:14" x14ac:dyDescent="0.3">
      <c r="D31" s="1" t="s">
        <v>1394</v>
      </c>
      <c r="E31" s="67">
        <f>AVERAGE(E3:E29)</f>
        <v>39.5</v>
      </c>
      <c r="F31" s="67">
        <f t="shared" ref="F31:I31" si="1">AVERAGE(F3:F29)</f>
        <v>60.5</v>
      </c>
      <c r="G31" s="67">
        <f t="shared" si="1"/>
        <v>12.268333333333336</v>
      </c>
      <c r="H31" s="67">
        <f t="shared" si="1"/>
        <v>12.7875</v>
      </c>
      <c r="I31" s="67">
        <f t="shared" si="1"/>
        <v>11.286666666666667</v>
      </c>
    </row>
    <row r="32" spans="1:14" x14ac:dyDescent="0.3">
      <c r="D32" s="1" t="s">
        <v>1395</v>
      </c>
      <c r="E32" s="67">
        <f>_xlfn.STDEV.P(E3:E29)</f>
        <v>12.68857754044952</v>
      </c>
      <c r="F32" s="67">
        <f t="shared" ref="F32:I32" si="2">_xlfn.STDEV.P(F3:F29)</f>
        <v>12.68857754044952</v>
      </c>
      <c r="G32" s="67">
        <f t="shared" si="2"/>
        <v>3.1709694451732231</v>
      </c>
      <c r="H32" s="67">
        <f t="shared" si="2"/>
        <v>2.0587845321936955</v>
      </c>
      <c r="I32" s="67">
        <f t="shared" si="2"/>
        <v>2.5854974806064428</v>
      </c>
    </row>
    <row r="33" spans="4:9" x14ac:dyDescent="0.3">
      <c r="D33" s="1" t="s">
        <v>1396</v>
      </c>
      <c r="E33" s="67">
        <f>MIN(E3:E29)</f>
        <v>14</v>
      </c>
      <c r="F33" s="67">
        <f t="shared" ref="F33:I33" si="3">MIN(F3:F29)</f>
        <v>43</v>
      </c>
      <c r="G33" s="67">
        <f t="shared" si="3"/>
        <v>7.25</v>
      </c>
      <c r="H33" s="67">
        <f t="shared" si="3"/>
        <v>9.4</v>
      </c>
      <c r="I33" s="67">
        <f t="shared" si="3"/>
        <v>6.98</v>
      </c>
    </row>
    <row r="34" spans="4:9" x14ac:dyDescent="0.3">
      <c r="D34" s="1" t="s">
        <v>1397</v>
      </c>
      <c r="E34" s="67">
        <f>MAX(E3:E29)</f>
        <v>57</v>
      </c>
      <c r="F34" s="67">
        <f t="shared" ref="F34:I34" si="4">MAX(F3:F29)</f>
        <v>86</v>
      </c>
      <c r="G34" s="67">
        <f t="shared" si="4"/>
        <v>18.75</v>
      </c>
      <c r="H34" s="67">
        <f t="shared" si="4"/>
        <v>17.8</v>
      </c>
      <c r="I34" s="67">
        <f t="shared" si="4"/>
        <v>16.91</v>
      </c>
    </row>
    <row r="35" spans="4:9" x14ac:dyDescent="0.3">
      <c r="H35" s="67"/>
    </row>
    <row r="36" spans="4:9" x14ac:dyDescent="0.3">
      <c r="H36" s="67"/>
    </row>
    <row r="37" spans="4:9" x14ac:dyDescent="0.3">
      <c r="H37" s="67"/>
    </row>
  </sheetData>
  <autoFilter ref="A2:N29" xr:uid="{FC0214A7-68B1-4572-9769-570ED03B11E2}"/>
  <mergeCells count="2">
    <mergeCell ref="A1:B1"/>
    <mergeCell ref="C1:N1"/>
  </mergeCell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F7F24-91A5-4510-AEA9-0316D9B682E9}">
  <dimension ref="A1:G29"/>
  <sheetViews>
    <sheetView zoomScaleNormal="100" workbookViewId="0">
      <pane ySplit="2" topLeftCell="A3" activePane="bottomLeft" state="frozen"/>
      <selection pane="bottomLeft" activeCell="H3" sqref="H3"/>
    </sheetView>
  </sheetViews>
  <sheetFormatPr baseColWidth="10" defaultRowHeight="14.4" x14ac:dyDescent="0.3"/>
  <cols>
    <col min="1" max="1" width="7.77734375" style="32" bestFit="1" customWidth="1"/>
    <col min="2" max="2" width="26" style="33" customWidth="1"/>
    <col min="3" max="3" width="19.88671875" style="1" bestFit="1" customWidth="1"/>
    <col min="4" max="4" width="23.77734375" style="1" bestFit="1" customWidth="1"/>
    <col min="5" max="5" width="27.88671875" style="33" customWidth="1"/>
    <col min="6" max="6" width="50.33203125" style="33" customWidth="1"/>
    <col min="7" max="7" width="26.44140625" style="33" customWidth="1"/>
    <col min="8" max="16384" width="11.5546875" style="1"/>
  </cols>
  <sheetData>
    <row r="1" spans="1:7" x14ac:dyDescent="0.3">
      <c r="A1" s="96" t="s">
        <v>13</v>
      </c>
      <c r="B1" s="97"/>
      <c r="C1" s="97"/>
      <c r="D1" s="70"/>
      <c r="E1" s="104" t="s">
        <v>1254</v>
      </c>
      <c r="F1" s="104"/>
      <c r="G1" s="104"/>
    </row>
    <row r="2" spans="1:7" ht="15.6" x14ac:dyDescent="0.3">
      <c r="A2" s="2" t="s">
        <v>10</v>
      </c>
      <c r="B2" s="4" t="s">
        <v>0</v>
      </c>
      <c r="C2" s="3" t="s">
        <v>1</v>
      </c>
      <c r="D2" s="3" t="s">
        <v>1240</v>
      </c>
      <c r="E2" s="53" t="s">
        <v>1251</v>
      </c>
      <c r="F2" s="53" t="s">
        <v>1252</v>
      </c>
      <c r="G2" s="53" t="s">
        <v>1253</v>
      </c>
    </row>
    <row r="3" spans="1:7" ht="43.2" x14ac:dyDescent="0.3">
      <c r="A3" s="14">
        <v>19</v>
      </c>
      <c r="B3" s="16" t="s">
        <v>67</v>
      </c>
      <c r="C3" s="15" t="s">
        <v>627</v>
      </c>
      <c r="D3" s="15" t="s">
        <v>1241</v>
      </c>
      <c r="E3" s="55" t="s">
        <v>1297</v>
      </c>
      <c r="F3" s="55" t="s">
        <v>1309</v>
      </c>
      <c r="G3" s="55" t="s">
        <v>1293</v>
      </c>
    </row>
    <row r="4" spans="1:7" ht="43.2" x14ac:dyDescent="0.3">
      <c r="A4" s="14">
        <v>21</v>
      </c>
      <c r="B4" s="16" t="s">
        <v>71</v>
      </c>
      <c r="C4" s="15" t="s">
        <v>629</v>
      </c>
      <c r="D4" s="15" t="s">
        <v>619</v>
      </c>
      <c r="E4" s="55" t="s">
        <v>1308</v>
      </c>
      <c r="F4" s="55" t="s">
        <v>1320</v>
      </c>
      <c r="G4" s="55" t="s">
        <v>1293</v>
      </c>
    </row>
    <row r="5" spans="1:7" ht="43.2" x14ac:dyDescent="0.3">
      <c r="A5" s="14">
        <v>24</v>
      </c>
      <c r="B5" s="16" t="s">
        <v>80</v>
      </c>
      <c r="C5" s="15" t="s">
        <v>624</v>
      </c>
      <c r="D5" s="15" t="s">
        <v>1249</v>
      </c>
      <c r="E5" s="55" t="s">
        <v>1167</v>
      </c>
      <c r="F5" s="55" t="s">
        <v>1298</v>
      </c>
      <c r="G5" s="55" t="s">
        <v>1292</v>
      </c>
    </row>
    <row r="6" spans="1:7" ht="28.8" x14ac:dyDescent="0.3">
      <c r="A6" s="14">
        <v>26</v>
      </c>
      <c r="B6" s="16" t="s">
        <v>84</v>
      </c>
      <c r="C6" s="15" t="s">
        <v>624</v>
      </c>
      <c r="D6" s="15" t="s">
        <v>619</v>
      </c>
      <c r="E6" s="55" t="s">
        <v>1165</v>
      </c>
      <c r="F6" s="55" t="s">
        <v>1294</v>
      </c>
      <c r="G6" s="55" t="s">
        <v>1292</v>
      </c>
    </row>
    <row r="7" spans="1:7" ht="43.2" x14ac:dyDescent="0.3">
      <c r="A7" s="14">
        <v>39</v>
      </c>
      <c r="B7" s="16" t="s">
        <v>113</v>
      </c>
      <c r="C7" s="15" t="s">
        <v>494</v>
      </c>
      <c r="D7" s="15" t="s">
        <v>1249</v>
      </c>
      <c r="E7" s="55" t="s">
        <v>1297</v>
      </c>
      <c r="F7" s="55" t="s">
        <v>1307</v>
      </c>
      <c r="G7" s="55" t="s">
        <v>1293</v>
      </c>
    </row>
    <row r="8" spans="1:7" ht="28.8" x14ac:dyDescent="0.3">
      <c r="A8" s="14">
        <v>41</v>
      </c>
      <c r="B8" s="16" t="s">
        <v>117</v>
      </c>
      <c r="C8" s="15" t="s">
        <v>487</v>
      </c>
      <c r="D8" s="15" t="s">
        <v>1246</v>
      </c>
      <c r="E8" s="55" t="s">
        <v>1166</v>
      </c>
      <c r="F8" s="55" t="s">
        <v>1299</v>
      </c>
      <c r="G8" s="55" t="s">
        <v>1292</v>
      </c>
    </row>
    <row r="9" spans="1:7" ht="57.6" x14ac:dyDescent="0.3">
      <c r="A9" s="14">
        <v>43</v>
      </c>
      <c r="B9" s="16" t="s">
        <v>121</v>
      </c>
      <c r="C9" s="15" t="s">
        <v>494</v>
      </c>
      <c r="D9" s="15" t="s">
        <v>1246</v>
      </c>
      <c r="E9" s="55" t="s">
        <v>1296</v>
      </c>
      <c r="F9" s="55" t="s">
        <v>1306</v>
      </c>
      <c r="G9" s="55" t="s">
        <v>1293</v>
      </c>
    </row>
    <row r="10" spans="1:7" ht="28.8" x14ac:dyDescent="0.3">
      <c r="A10" s="14">
        <v>46</v>
      </c>
      <c r="B10" s="16" t="s">
        <v>128</v>
      </c>
      <c r="C10" s="15" t="s">
        <v>623</v>
      </c>
      <c r="D10" s="15" t="s">
        <v>1248</v>
      </c>
      <c r="E10" s="55" t="s">
        <v>1166</v>
      </c>
      <c r="F10" s="55" t="s">
        <v>1299</v>
      </c>
      <c r="G10" s="55" t="s">
        <v>1292</v>
      </c>
    </row>
    <row r="11" spans="1:7" ht="28.8" x14ac:dyDescent="0.3">
      <c r="A11" s="14">
        <v>47</v>
      </c>
      <c r="B11" s="16" t="s">
        <v>130</v>
      </c>
      <c r="C11" s="15" t="s">
        <v>494</v>
      </c>
      <c r="D11" s="15" t="s">
        <v>1243</v>
      </c>
      <c r="E11" s="55" t="s">
        <v>1166</v>
      </c>
      <c r="F11" s="55" t="s">
        <v>1300</v>
      </c>
      <c r="G11" s="55" t="s">
        <v>1295</v>
      </c>
    </row>
    <row r="12" spans="1:7" ht="43.2" x14ac:dyDescent="0.3">
      <c r="A12" s="14">
        <v>58</v>
      </c>
      <c r="B12" s="16" t="s">
        <v>154</v>
      </c>
      <c r="C12" s="15" t="s">
        <v>624</v>
      </c>
      <c r="D12" s="15" t="s">
        <v>1241</v>
      </c>
      <c r="E12" s="55" t="s">
        <v>1297</v>
      </c>
      <c r="F12" s="55" t="s">
        <v>1305</v>
      </c>
      <c r="G12" s="55" t="s">
        <v>1293</v>
      </c>
    </row>
    <row r="13" spans="1:7" ht="43.2" x14ac:dyDescent="0.3">
      <c r="A13" s="14">
        <v>59</v>
      </c>
      <c r="B13" s="16" t="s">
        <v>156</v>
      </c>
      <c r="C13" s="15" t="s">
        <v>623</v>
      </c>
      <c r="D13" s="15" t="s">
        <v>1241</v>
      </c>
      <c r="E13" s="55" t="s">
        <v>1301</v>
      </c>
      <c r="F13" s="55" t="s">
        <v>1304</v>
      </c>
      <c r="G13" s="55" t="s">
        <v>1293</v>
      </c>
    </row>
    <row r="14" spans="1:7" ht="43.2" x14ac:dyDescent="0.3">
      <c r="A14" s="14">
        <v>65</v>
      </c>
      <c r="B14" s="16" t="s">
        <v>168</v>
      </c>
      <c r="C14" s="15" t="s">
        <v>494</v>
      </c>
      <c r="D14" s="15" t="s">
        <v>1243</v>
      </c>
      <c r="E14" s="55" t="s">
        <v>1297</v>
      </c>
      <c r="F14" s="55" t="s">
        <v>1303</v>
      </c>
      <c r="G14" s="55" t="s">
        <v>1293</v>
      </c>
    </row>
    <row r="15" spans="1:7" ht="43.2" x14ac:dyDescent="0.3">
      <c r="A15" s="14">
        <v>67</v>
      </c>
      <c r="B15" s="16" t="s">
        <v>172</v>
      </c>
      <c r="C15" s="15" t="s">
        <v>659</v>
      </c>
      <c r="D15" s="15" t="s">
        <v>619</v>
      </c>
      <c r="E15" s="55" t="s">
        <v>1297</v>
      </c>
      <c r="F15" s="55" t="s">
        <v>1302</v>
      </c>
      <c r="G15" s="55" t="s">
        <v>1293</v>
      </c>
    </row>
    <row r="16" spans="1:7" ht="57.6" x14ac:dyDescent="0.3">
      <c r="A16" s="14">
        <v>74</v>
      </c>
      <c r="B16" s="16" t="s">
        <v>187</v>
      </c>
      <c r="C16" s="15" t="s">
        <v>691</v>
      </c>
      <c r="D16" s="15" t="s">
        <v>619</v>
      </c>
      <c r="E16" s="55" t="s">
        <v>1297</v>
      </c>
      <c r="F16" s="55" t="s">
        <v>1310</v>
      </c>
      <c r="G16" s="55" t="s">
        <v>1293</v>
      </c>
    </row>
    <row r="17" spans="1:7" ht="43.2" x14ac:dyDescent="0.3">
      <c r="A17" s="14">
        <v>94</v>
      </c>
      <c r="B17" s="16" t="s">
        <v>228</v>
      </c>
      <c r="C17" s="15" t="s">
        <v>684</v>
      </c>
      <c r="D17" s="15" t="s">
        <v>619</v>
      </c>
      <c r="E17" s="55" t="s">
        <v>1297</v>
      </c>
      <c r="F17" s="55" t="s">
        <v>1311</v>
      </c>
      <c r="G17" s="55" t="s">
        <v>1293</v>
      </c>
    </row>
    <row r="18" spans="1:7" ht="28.8" x14ac:dyDescent="0.3">
      <c r="A18" s="14">
        <v>97</v>
      </c>
      <c r="B18" s="16" t="s">
        <v>235</v>
      </c>
      <c r="C18" s="15" t="s">
        <v>620</v>
      </c>
      <c r="D18" s="15" t="s">
        <v>619</v>
      </c>
      <c r="E18" s="55" t="s">
        <v>1166</v>
      </c>
      <c r="F18" s="55" t="s">
        <v>1227</v>
      </c>
      <c r="G18" s="55" t="s">
        <v>1292</v>
      </c>
    </row>
    <row r="19" spans="1:7" ht="28.8" x14ac:dyDescent="0.3">
      <c r="A19" s="14">
        <v>102</v>
      </c>
      <c r="B19" s="16" t="s">
        <v>246</v>
      </c>
      <c r="C19" s="15" t="s">
        <v>659</v>
      </c>
      <c r="D19" s="15" t="s">
        <v>619</v>
      </c>
      <c r="E19" s="55" t="s">
        <v>1165</v>
      </c>
      <c r="F19" s="55" t="s">
        <v>1294</v>
      </c>
      <c r="G19" s="55" t="s">
        <v>1292</v>
      </c>
    </row>
    <row r="20" spans="1:7" ht="28.8" x14ac:dyDescent="0.3">
      <c r="A20" s="14">
        <v>111</v>
      </c>
      <c r="B20" s="16" t="s">
        <v>266</v>
      </c>
      <c r="C20" s="15" t="s">
        <v>659</v>
      </c>
      <c r="D20" s="15" t="s">
        <v>1248</v>
      </c>
      <c r="E20" s="55" t="s">
        <v>1168</v>
      </c>
      <c r="F20" s="55" t="s">
        <v>1227</v>
      </c>
      <c r="G20" s="55" t="s">
        <v>1292</v>
      </c>
    </row>
    <row r="21" spans="1:7" ht="28.8" x14ac:dyDescent="0.3">
      <c r="A21" s="14">
        <v>122</v>
      </c>
      <c r="B21" s="16" t="s">
        <v>288</v>
      </c>
      <c r="C21" s="15" t="s">
        <v>678</v>
      </c>
      <c r="D21" s="15" t="s">
        <v>1248</v>
      </c>
      <c r="E21" s="55" t="s">
        <v>1166</v>
      </c>
      <c r="F21" s="55" t="s">
        <v>1299</v>
      </c>
      <c r="G21" s="55" t="s">
        <v>1292</v>
      </c>
    </row>
    <row r="22" spans="1:7" ht="28.8" x14ac:dyDescent="0.3">
      <c r="A22" s="14">
        <v>132</v>
      </c>
      <c r="B22" s="16" t="s">
        <v>308</v>
      </c>
      <c r="C22" s="15" t="s">
        <v>717</v>
      </c>
      <c r="D22" s="15" t="s">
        <v>1243</v>
      </c>
      <c r="E22" s="55" t="s">
        <v>1308</v>
      </c>
      <c r="F22" s="55" t="s">
        <v>1312</v>
      </c>
      <c r="G22" s="55" t="s">
        <v>1293</v>
      </c>
    </row>
    <row r="23" spans="1:7" ht="28.8" x14ac:dyDescent="0.3">
      <c r="A23" s="14">
        <v>157</v>
      </c>
      <c r="B23" s="16" t="s">
        <v>359</v>
      </c>
      <c r="C23" s="15" t="s">
        <v>494</v>
      </c>
      <c r="D23" s="15" t="s">
        <v>1249</v>
      </c>
      <c r="E23" s="55" t="s">
        <v>1165</v>
      </c>
      <c r="F23" s="55" t="s">
        <v>1313</v>
      </c>
      <c r="G23" s="55" t="s">
        <v>1295</v>
      </c>
    </row>
    <row r="24" spans="1:7" ht="72" x14ac:dyDescent="0.3">
      <c r="A24" s="14">
        <v>159</v>
      </c>
      <c r="B24" s="16" t="s">
        <v>363</v>
      </c>
      <c r="C24" s="15" t="s">
        <v>494</v>
      </c>
      <c r="D24" s="15" t="s">
        <v>1241</v>
      </c>
      <c r="E24" s="55" t="s">
        <v>1308</v>
      </c>
      <c r="F24" s="55" t="s">
        <v>1314</v>
      </c>
      <c r="G24" s="55" t="s">
        <v>1293</v>
      </c>
    </row>
    <row r="25" spans="1:7" ht="28.8" x14ac:dyDescent="0.3">
      <c r="A25" s="14">
        <v>163</v>
      </c>
      <c r="B25" s="16" t="s">
        <v>371</v>
      </c>
      <c r="C25" s="15" t="s">
        <v>643</v>
      </c>
      <c r="D25" s="15" t="s">
        <v>1244</v>
      </c>
      <c r="E25" s="55" t="s">
        <v>1166</v>
      </c>
      <c r="F25" s="55" t="s">
        <v>1227</v>
      </c>
      <c r="G25" s="55" t="s">
        <v>1292</v>
      </c>
    </row>
    <row r="26" spans="1:7" ht="57.6" x14ac:dyDescent="0.3">
      <c r="A26" s="14">
        <v>164</v>
      </c>
      <c r="B26" s="16" t="s">
        <v>373</v>
      </c>
      <c r="C26" s="15" t="s">
        <v>770</v>
      </c>
      <c r="D26" s="15" t="s">
        <v>1241</v>
      </c>
      <c r="E26" s="55" t="s">
        <v>1315</v>
      </c>
      <c r="F26" s="55" t="s">
        <v>1316</v>
      </c>
      <c r="G26" s="55" t="s">
        <v>1293</v>
      </c>
    </row>
    <row r="27" spans="1:7" ht="57.6" x14ac:dyDescent="0.3">
      <c r="A27" s="14">
        <v>184</v>
      </c>
      <c r="B27" s="16" t="s">
        <v>417</v>
      </c>
      <c r="C27" s="15" t="s">
        <v>691</v>
      </c>
      <c r="D27" s="15" t="s">
        <v>1248</v>
      </c>
      <c r="E27" s="55" t="s">
        <v>1297</v>
      </c>
      <c r="F27" s="55" t="s">
        <v>1317</v>
      </c>
      <c r="G27" s="55" t="s">
        <v>1293</v>
      </c>
    </row>
    <row r="28" spans="1:7" ht="43.2" x14ac:dyDescent="0.3">
      <c r="A28" s="14">
        <v>199</v>
      </c>
      <c r="B28" s="16" t="s">
        <v>447</v>
      </c>
      <c r="C28" s="15" t="s">
        <v>494</v>
      </c>
      <c r="D28" s="15" t="s">
        <v>619</v>
      </c>
      <c r="E28" s="55" t="s">
        <v>1297</v>
      </c>
      <c r="F28" s="55" t="s">
        <v>1318</v>
      </c>
      <c r="G28" s="55" t="s">
        <v>1293</v>
      </c>
    </row>
    <row r="29" spans="1:7" ht="43.8" thickBot="1" x14ac:dyDescent="0.35">
      <c r="A29" s="26">
        <v>213</v>
      </c>
      <c r="B29" s="28" t="s">
        <v>477</v>
      </c>
      <c r="C29" s="27" t="s">
        <v>814</v>
      </c>
      <c r="D29" s="27" t="s">
        <v>1244</v>
      </c>
      <c r="E29" s="57" t="s">
        <v>1315</v>
      </c>
      <c r="F29" s="57" t="s">
        <v>1319</v>
      </c>
      <c r="G29" s="57" t="s">
        <v>1293</v>
      </c>
    </row>
  </sheetData>
  <autoFilter ref="A2:G29" xr:uid="{FC0214A7-68B1-4572-9769-570ED03B11E2}">
    <sortState ref="A3:G29">
      <sortCondition ref="A2:A29"/>
    </sortState>
  </autoFilter>
  <mergeCells count="2">
    <mergeCell ref="A1:C1"/>
    <mergeCell ref="E1:G1"/>
  </mergeCell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B22F7-1DA5-4208-9EA2-86D9F6CD5015}">
  <dimension ref="A1:G17"/>
  <sheetViews>
    <sheetView zoomScaleNormal="100" workbookViewId="0">
      <pane ySplit="2" topLeftCell="A3" activePane="bottomLeft" state="frozen"/>
      <selection pane="bottomLeft" activeCell="H9" sqref="H9"/>
    </sheetView>
  </sheetViews>
  <sheetFormatPr baseColWidth="10" defaultRowHeight="14.4" x14ac:dyDescent="0.3"/>
  <cols>
    <col min="1" max="1" width="7.77734375" style="32" bestFit="1" customWidth="1"/>
    <col min="2" max="2" width="26" style="33" customWidth="1"/>
    <col min="3" max="3" width="18.77734375" style="1" customWidth="1"/>
    <col min="4" max="4" width="23.77734375" style="1" customWidth="1"/>
    <col min="5" max="5" width="23.21875" style="33" bestFit="1" customWidth="1"/>
    <col min="6" max="6" width="26.21875" style="33" customWidth="1"/>
    <col min="7" max="7" width="51.21875" style="33" customWidth="1"/>
    <col min="8" max="16384" width="11.5546875" style="1"/>
  </cols>
  <sheetData>
    <row r="1" spans="1:7" x14ac:dyDescent="0.3">
      <c r="A1" s="112" t="s">
        <v>13</v>
      </c>
      <c r="B1" s="113"/>
      <c r="C1" s="113"/>
      <c r="D1" s="114"/>
      <c r="E1" s="106" t="s">
        <v>1164</v>
      </c>
      <c r="F1" s="107"/>
      <c r="G1" s="108"/>
    </row>
    <row r="2" spans="1:7" ht="15.6" x14ac:dyDescent="0.3">
      <c r="A2" s="2" t="s">
        <v>10</v>
      </c>
      <c r="B2" s="4" t="s">
        <v>0</v>
      </c>
      <c r="C2" s="3" t="s">
        <v>1</v>
      </c>
      <c r="D2" s="3" t="s">
        <v>1240</v>
      </c>
      <c r="E2" s="90" t="s">
        <v>1164</v>
      </c>
      <c r="F2" s="71" t="s">
        <v>8</v>
      </c>
      <c r="G2" s="71" t="s">
        <v>1172</v>
      </c>
    </row>
    <row r="3" spans="1:7" ht="28.8" x14ac:dyDescent="0.3">
      <c r="A3" s="14">
        <v>6</v>
      </c>
      <c r="B3" s="16" t="s">
        <v>33</v>
      </c>
      <c r="C3" s="15" t="s">
        <v>488</v>
      </c>
      <c r="D3" s="15" t="s">
        <v>1243</v>
      </c>
      <c r="E3" s="72" t="s">
        <v>1335</v>
      </c>
      <c r="F3" s="91" t="s">
        <v>1376</v>
      </c>
      <c r="G3" s="73">
        <v>45974</v>
      </c>
    </row>
    <row r="4" spans="1:7" ht="43.2" x14ac:dyDescent="0.3">
      <c r="A4" s="14">
        <v>42</v>
      </c>
      <c r="B4" s="16" t="s">
        <v>119</v>
      </c>
      <c r="C4" s="15" t="s">
        <v>655</v>
      </c>
      <c r="D4" s="15" t="s">
        <v>1248</v>
      </c>
      <c r="E4" s="72" t="s">
        <v>1332</v>
      </c>
      <c r="F4" s="91" t="s">
        <v>1377</v>
      </c>
      <c r="G4" s="73">
        <v>45974</v>
      </c>
    </row>
    <row r="5" spans="1:7" ht="28.8" x14ac:dyDescent="0.3">
      <c r="A5" s="14">
        <v>60</v>
      </c>
      <c r="B5" s="16" t="s">
        <v>158</v>
      </c>
      <c r="C5" s="15" t="s">
        <v>487</v>
      </c>
      <c r="D5" s="15" t="s">
        <v>1244</v>
      </c>
      <c r="E5" s="72" t="s">
        <v>1335</v>
      </c>
      <c r="F5" s="91" t="s">
        <v>1376</v>
      </c>
      <c r="G5" s="73">
        <v>45974</v>
      </c>
    </row>
    <row r="6" spans="1:7" ht="28.8" x14ac:dyDescent="0.3">
      <c r="A6" s="14">
        <v>62</v>
      </c>
      <c r="B6" s="16" t="s">
        <v>162</v>
      </c>
      <c r="C6" s="15" t="s">
        <v>678</v>
      </c>
      <c r="D6" s="15" t="s">
        <v>619</v>
      </c>
      <c r="E6" s="72" t="s">
        <v>1335</v>
      </c>
      <c r="F6" s="91" t="s">
        <v>1376</v>
      </c>
      <c r="G6" s="73">
        <v>45974</v>
      </c>
    </row>
    <row r="7" spans="1:7" ht="28.8" x14ac:dyDescent="0.3">
      <c r="A7" s="14">
        <v>70</v>
      </c>
      <c r="B7" s="16" t="s">
        <v>178</v>
      </c>
      <c r="C7" s="15" t="s">
        <v>686</v>
      </c>
      <c r="D7" s="15" t="s">
        <v>1243</v>
      </c>
      <c r="E7" s="72" t="s">
        <v>1335</v>
      </c>
      <c r="F7" s="91" t="s">
        <v>1376</v>
      </c>
      <c r="G7" s="73">
        <v>45974</v>
      </c>
    </row>
    <row r="8" spans="1:7" ht="28.8" x14ac:dyDescent="0.3">
      <c r="A8" s="14">
        <v>75</v>
      </c>
      <c r="B8" s="16" t="s">
        <v>189</v>
      </c>
      <c r="C8" s="15" t="s">
        <v>638</v>
      </c>
      <c r="D8" s="15" t="s">
        <v>1241</v>
      </c>
      <c r="E8" s="72" t="s">
        <v>1337</v>
      </c>
      <c r="F8" s="91" t="s">
        <v>1378</v>
      </c>
      <c r="G8" s="73">
        <v>45974</v>
      </c>
    </row>
    <row r="9" spans="1:7" ht="72" x14ac:dyDescent="0.3">
      <c r="A9" s="14">
        <v>76</v>
      </c>
      <c r="B9" s="16" t="s">
        <v>191</v>
      </c>
      <c r="C9" s="15" t="s">
        <v>678</v>
      </c>
      <c r="D9" s="15" t="s">
        <v>1244</v>
      </c>
      <c r="E9" s="72" t="s">
        <v>1338</v>
      </c>
      <c r="F9" s="91" t="s">
        <v>1379</v>
      </c>
      <c r="G9" s="73">
        <v>45974</v>
      </c>
    </row>
    <row r="10" spans="1:7" ht="43.2" x14ac:dyDescent="0.3">
      <c r="A10" s="14">
        <v>81</v>
      </c>
      <c r="B10" s="16" t="s">
        <v>201</v>
      </c>
      <c r="C10" s="15" t="s">
        <v>487</v>
      </c>
      <c r="D10" s="15" t="s">
        <v>1246</v>
      </c>
      <c r="E10" s="72" t="s">
        <v>1339</v>
      </c>
      <c r="F10" s="91" t="s">
        <v>1380</v>
      </c>
      <c r="G10" s="73">
        <v>45974</v>
      </c>
    </row>
    <row r="11" spans="1:7" ht="28.8" x14ac:dyDescent="0.3">
      <c r="A11" s="14">
        <v>117</v>
      </c>
      <c r="B11" s="16" t="s">
        <v>278</v>
      </c>
      <c r="C11" s="15" t="s">
        <v>494</v>
      </c>
      <c r="D11" s="15" t="s">
        <v>1244</v>
      </c>
      <c r="E11" s="72" t="s">
        <v>1354</v>
      </c>
      <c r="F11" s="91" t="s">
        <v>1381</v>
      </c>
      <c r="G11" s="73">
        <v>45974</v>
      </c>
    </row>
    <row r="12" spans="1:7" ht="28.8" x14ac:dyDescent="0.3">
      <c r="A12" s="14">
        <v>122</v>
      </c>
      <c r="B12" s="84" t="s">
        <v>288</v>
      </c>
      <c r="C12" s="85" t="s">
        <v>678</v>
      </c>
      <c r="D12" s="85" t="s">
        <v>1248</v>
      </c>
      <c r="E12" s="86" t="s">
        <v>1340</v>
      </c>
      <c r="F12" s="91" t="s">
        <v>1382</v>
      </c>
      <c r="G12" s="73">
        <v>45974</v>
      </c>
    </row>
    <row r="13" spans="1:7" ht="28.8" x14ac:dyDescent="0.3">
      <c r="A13" s="14">
        <v>132</v>
      </c>
      <c r="B13" s="84" t="s">
        <v>308</v>
      </c>
      <c r="C13" s="85" t="s">
        <v>717</v>
      </c>
      <c r="D13" s="85" t="s">
        <v>1243</v>
      </c>
      <c r="E13" s="86" t="s">
        <v>1341</v>
      </c>
      <c r="F13" s="91" t="s">
        <v>1383</v>
      </c>
      <c r="G13" s="73">
        <v>45974</v>
      </c>
    </row>
    <row r="14" spans="1:7" ht="43.2" x14ac:dyDescent="0.3">
      <c r="A14" s="14">
        <v>134</v>
      </c>
      <c r="B14" s="84" t="s">
        <v>312</v>
      </c>
      <c r="C14" s="85" t="s">
        <v>686</v>
      </c>
      <c r="D14" s="85" t="s">
        <v>619</v>
      </c>
      <c r="E14" s="86" t="s">
        <v>1339</v>
      </c>
      <c r="F14" s="91" t="s">
        <v>1384</v>
      </c>
      <c r="G14" s="73">
        <v>45974</v>
      </c>
    </row>
    <row r="15" spans="1:7" ht="28.8" x14ac:dyDescent="0.3">
      <c r="A15" s="14">
        <v>154</v>
      </c>
      <c r="B15" s="16" t="s">
        <v>353</v>
      </c>
      <c r="C15" s="15" t="s">
        <v>760</v>
      </c>
      <c r="D15" s="15" t="s">
        <v>619</v>
      </c>
      <c r="E15" s="72" t="s">
        <v>1337</v>
      </c>
      <c r="F15" s="91" t="s">
        <v>1378</v>
      </c>
      <c r="G15" s="73">
        <v>45974</v>
      </c>
    </row>
    <row r="16" spans="1:7" ht="28.8" x14ac:dyDescent="0.3">
      <c r="A16" s="14">
        <v>177</v>
      </c>
      <c r="B16" s="16" t="s">
        <v>403</v>
      </c>
      <c r="C16" s="15" t="s">
        <v>785</v>
      </c>
      <c r="D16" s="15" t="s">
        <v>1244</v>
      </c>
      <c r="E16" s="72" t="s">
        <v>1355</v>
      </c>
      <c r="F16" s="91" t="s">
        <v>1385</v>
      </c>
      <c r="G16" s="73">
        <v>45974</v>
      </c>
    </row>
    <row r="17" spans="1:7" ht="29.4" thickBot="1" x14ac:dyDescent="0.35">
      <c r="A17" s="26">
        <v>210</v>
      </c>
      <c r="B17" s="28" t="s">
        <v>470</v>
      </c>
      <c r="C17" s="27" t="s">
        <v>686</v>
      </c>
      <c r="D17" s="27" t="s">
        <v>619</v>
      </c>
      <c r="E17" s="75" t="s">
        <v>1339</v>
      </c>
      <c r="F17" s="92" t="s">
        <v>1386</v>
      </c>
      <c r="G17" s="76">
        <v>45974</v>
      </c>
    </row>
  </sheetData>
  <autoFilter ref="A2:G17" xr:uid="{FC0214A7-68B1-4572-9769-570ED03B11E2}"/>
  <mergeCells count="2">
    <mergeCell ref="A1:D1"/>
    <mergeCell ref="E1:G1"/>
  </mergeCell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7BAC-9DC1-4898-8540-9698570251C2}">
  <dimension ref="A1:M17"/>
  <sheetViews>
    <sheetView zoomScaleNormal="100" workbookViewId="0">
      <pane ySplit="2" topLeftCell="A3" activePane="bottomLeft" state="frozen"/>
      <selection pane="bottomLeft" activeCell="F15" sqref="F15"/>
    </sheetView>
  </sheetViews>
  <sheetFormatPr baseColWidth="10" defaultRowHeight="14.4" x14ac:dyDescent="0.3"/>
  <cols>
    <col min="1" max="1" width="7.77734375" style="32" bestFit="1" customWidth="1"/>
    <col min="2" max="2" width="26" style="33" customWidth="1"/>
    <col min="3" max="3" width="18.77734375" style="1" customWidth="1"/>
    <col min="4" max="4" width="23.77734375" style="1" customWidth="1"/>
    <col min="5" max="5" width="23.21875" style="33" bestFit="1" customWidth="1"/>
    <col min="6" max="6" width="15.77734375" style="33" customWidth="1"/>
    <col min="7" max="7" width="16.88671875" style="33" bestFit="1" customWidth="1"/>
    <col min="8" max="8" width="19.33203125" style="33" customWidth="1"/>
    <col min="9" max="9" width="26.21875" style="33" customWidth="1"/>
    <col min="10" max="10" width="28.6640625" style="33" customWidth="1"/>
    <col min="11" max="12" width="26.21875" style="33" customWidth="1"/>
    <col min="13" max="13" width="51.21875" style="33" customWidth="1"/>
    <col min="14" max="16384" width="11.5546875" style="1"/>
  </cols>
  <sheetData>
    <row r="1" spans="1:13" x14ac:dyDescent="0.3">
      <c r="A1" s="112" t="s">
        <v>13</v>
      </c>
      <c r="B1" s="113"/>
      <c r="C1" s="113"/>
      <c r="D1" s="114"/>
      <c r="E1" s="106" t="s">
        <v>1164</v>
      </c>
      <c r="F1" s="107"/>
      <c r="G1" s="107"/>
      <c r="H1" s="107"/>
      <c r="I1" s="109" t="s">
        <v>1286</v>
      </c>
      <c r="J1" s="110"/>
      <c r="K1" s="110"/>
      <c r="L1" s="110"/>
      <c r="M1" s="111"/>
    </row>
    <row r="2" spans="1:13" ht="46.8" x14ac:dyDescent="0.3">
      <c r="A2" s="2" t="s">
        <v>10</v>
      </c>
      <c r="B2" s="4" t="s">
        <v>0</v>
      </c>
      <c r="C2" s="3" t="s">
        <v>1</v>
      </c>
      <c r="D2" s="3" t="s">
        <v>1240</v>
      </c>
      <c r="E2" s="71" t="s">
        <v>1164</v>
      </c>
      <c r="F2" s="71" t="s">
        <v>1255</v>
      </c>
      <c r="G2" s="71" t="s">
        <v>1350</v>
      </c>
      <c r="H2" s="71" t="s">
        <v>1336</v>
      </c>
      <c r="I2" s="50" t="s">
        <v>1333</v>
      </c>
      <c r="J2" s="50" t="s">
        <v>1334</v>
      </c>
      <c r="K2" s="50" t="s">
        <v>1352</v>
      </c>
      <c r="L2" s="50" t="s">
        <v>1353</v>
      </c>
      <c r="M2" s="50" t="s">
        <v>12</v>
      </c>
    </row>
    <row r="3" spans="1:13" ht="100.8" x14ac:dyDescent="0.3">
      <c r="A3" s="14">
        <v>6</v>
      </c>
      <c r="B3" s="16" t="s">
        <v>33</v>
      </c>
      <c r="C3" s="15" t="s">
        <v>488</v>
      </c>
      <c r="D3" s="15" t="s">
        <v>1243</v>
      </c>
      <c r="E3" s="72" t="s">
        <v>1335</v>
      </c>
      <c r="F3" s="73">
        <v>45974</v>
      </c>
      <c r="G3" s="73" t="s">
        <v>1277</v>
      </c>
      <c r="H3" s="73" t="s">
        <v>1342</v>
      </c>
      <c r="I3" s="43" t="s">
        <v>1264</v>
      </c>
      <c r="J3" s="43" t="s">
        <v>1264</v>
      </c>
      <c r="K3" s="43" t="s">
        <v>1264</v>
      </c>
      <c r="L3" s="43" t="s">
        <v>1264</v>
      </c>
      <c r="M3" s="43" t="s">
        <v>1349</v>
      </c>
    </row>
    <row r="4" spans="1:13" ht="43.2" x14ac:dyDescent="0.3">
      <c r="A4" s="14">
        <v>42</v>
      </c>
      <c r="B4" s="16" t="s">
        <v>119</v>
      </c>
      <c r="C4" s="15" t="s">
        <v>655</v>
      </c>
      <c r="D4" s="15" t="s">
        <v>1248</v>
      </c>
      <c r="E4" s="72" t="s">
        <v>1332</v>
      </c>
      <c r="F4" s="73">
        <v>45974</v>
      </c>
      <c r="G4" s="73" t="s">
        <v>1277</v>
      </c>
      <c r="H4" s="73" t="s">
        <v>941</v>
      </c>
      <c r="I4" s="43" t="s">
        <v>1264</v>
      </c>
      <c r="J4" s="43" t="s">
        <v>1264</v>
      </c>
      <c r="K4" s="43" t="s">
        <v>1264</v>
      </c>
      <c r="L4" s="43" t="s">
        <v>1264</v>
      </c>
      <c r="M4" s="43" t="s">
        <v>1331</v>
      </c>
    </row>
    <row r="5" spans="1:13" ht="28.8" x14ac:dyDescent="0.3">
      <c r="A5" s="14">
        <v>60</v>
      </c>
      <c r="B5" s="16" t="s">
        <v>158</v>
      </c>
      <c r="C5" s="15" t="s">
        <v>487</v>
      </c>
      <c r="D5" s="15" t="s">
        <v>1244</v>
      </c>
      <c r="E5" s="72" t="s">
        <v>1335</v>
      </c>
      <c r="F5" s="73">
        <v>45974</v>
      </c>
      <c r="G5" s="73" t="s">
        <v>1277</v>
      </c>
      <c r="H5" s="73" t="s">
        <v>1342</v>
      </c>
      <c r="I5" s="43" t="s">
        <v>1264</v>
      </c>
      <c r="J5" s="43" t="s">
        <v>1264</v>
      </c>
      <c r="K5" s="43" t="s">
        <v>1264</v>
      </c>
      <c r="L5" s="43" t="s">
        <v>1264</v>
      </c>
      <c r="M5" s="43"/>
    </row>
    <row r="6" spans="1:13" ht="28.8" x14ac:dyDescent="0.3">
      <c r="A6" s="14">
        <v>62</v>
      </c>
      <c r="B6" s="16" t="s">
        <v>162</v>
      </c>
      <c r="C6" s="15" t="s">
        <v>678</v>
      </c>
      <c r="D6" s="15" t="s">
        <v>619</v>
      </c>
      <c r="E6" s="72" t="s">
        <v>1335</v>
      </c>
      <c r="F6" s="73">
        <v>45974</v>
      </c>
      <c r="G6" s="73" t="s">
        <v>1277</v>
      </c>
      <c r="H6" s="73" t="s">
        <v>1342</v>
      </c>
      <c r="I6" s="43" t="s">
        <v>1264</v>
      </c>
      <c r="J6" s="43" t="s">
        <v>1264</v>
      </c>
      <c r="K6" s="43" t="s">
        <v>1264</v>
      </c>
      <c r="L6" s="43" t="s">
        <v>1264</v>
      </c>
      <c r="M6" s="43"/>
    </row>
    <row r="7" spans="1:13" ht="28.8" x14ac:dyDescent="0.3">
      <c r="A7" s="14">
        <v>70</v>
      </c>
      <c r="B7" s="16" t="s">
        <v>178</v>
      </c>
      <c r="C7" s="15" t="s">
        <v>686</v>
      </c>
      <c r="D7" s="15" t="s">
        <v>1243</v>
      </c>
      <c r="E7" s="72" t="s">
        <v>1335</v>
      </c>
      <c r="F7" s="73">
        <v>45974</v>
      </c>
      <c r="G7" s="73" t="s">
        <v>1277</v>
      </c>
      <c r="H7" s="73" t="s">
        <v>1342</v>
      </c>
      <c r="I7" s="43" t="s">
        <v>1264</v>
      </c>
      <c r="J7" s="43" t="s">
        <v>1264</v>
      </c>
      <c r="K7" s="43" t="s">
        <v>1264</v>
      </c>
      <c r="L7" s="43" t="s">
        <v>1264</v>
      </c>
      <c r="M7" s="43"/>
    </row>
    <row r="8" spans="1:13" ht="28.8" x14ac:dyDescent="0.3">
      <c r="A8" s="14">
        <v>75</v>
      </c>
      <c r="B8" s="16" t="s">
        <v>189</v>
      </c>
      <c r="C8" s="15" t="s">
        <v>638</v>
      </c>
      <c r="D8" s="15" t="s">
        <v>1241</v>
      </c>
      <c r="E8" s="72" t="s">
        <v>1337</v>
      </c>
      <c r="F8" s="73">
        <v>45974</v>
      </c>
      <c r="G8" s="73" t="s">
        <v>1277</v>
      </c>
      <c r="H8" s="73" t="s">
        <v>1343</v>
      </c>
      <c r="I8" s="43" t="s">
        <v>1264</v>
      </c>
      <c r="J8" s="43" t="s">
        <v>1264</v>
      </c>
      <c r="K8" s="43" t="s">
        <v>1269</v>
      </c>
      <c r="L8" s="43" t="s">
        <v>1266</v>
      </c>
      <c r="M8" s="43" t="s">
        <v>1357</v>
      </c>
    </row>
    <row r="9" spans="1:13" ht="28.8" x14ac:dyDescent="0.3">
      <c r="A9" s="14">
        <v>76</v>
      </c>
      <c r="B9" s="16" t="s">
        <v>191</v>
      </c>
      <c r="C9" s="15" t="s">
        <v>678</v>
      </c>
      <c r="D9" s="15" t="s">
        <v>1244</v>
      </c>
      <c r="E9" s="72" t="s">
        <v>1338</v>
      </c>
      <c r="F9" s="73">
        <v>45974</v>
      </c>
      <c r="G9" s="73" t="s">
        <v>1276</v>
      </c>
      <c r="H9" s="73" t="s">
        <v>1344</v>
      </c>
      <c r="I9" s="43" t="s">
        <v>1264</v>
      </c>
      <c r="J9" s="43" t="s">
        <v>1264</v>
      </c>
      <c r="K9" s="43" t="s">
        <v>1264</v>
      </c>
      <c r="L9" s="43" t="s">
        <v>1266</v>
      </c>
      <c r="M9" s="43"/>
    </row>
    <row r="10" spans="1:13" x14ac:dyDescent="0.3">
      <c r="A10" s="14">
        <v>81</v>
      </c>
      <c r="B10" s="16" t="s">
        <v>201</v>
      </c>
      <c r="C10" s="15" t="s">
        <v>487</v>
      </c>
      <c r="D10" s="15" t="s">
        <v>1246</v>
      </c>
      <c r="E10" s="72" t="s">
        <v>1339</v>
      </c>
      <c r="F10" s="73">
        <v>45974</v>
      </c>
      <c r="G10" s="73" t="s">
        <v>1277</v>
      </c>
      <c r="H10" s="73" t="s">
        <v>1345</v>
      </c>
      <c r="I10" s="43" t="s">
        <v>1264</v>
      </c>
      <c r="J10" s="43" t="s">
        <v>1264</v>
      </c>
      <c r="K10" s="43" t="s">
        <v>1264</v>
      </c>
      <c r="L10" s="43" t="s">
        <v>1266</v>
      </c>
      <c r="M10" s="43"/>
    </row>
    <row r="11" spans="1:13" x14ac:dyDescent="0.3">
      <c r="A11" s="14">
        <v>117</v>
      </c>
      <c r="B11" s="16" t="s">
        <v>278</v>
      </c>
      <c r="C11" s="15" t="s">
        <v>494</v>
      </c>
      <c r="D11" s="15" t="s">
        <v>1244</v>
      </c>
      <c r="E11" s="72" t="s">
        <v>1354</v>
      </c>
      <c r="F11" s="73">
        <v>45974</v>
      </c>
      <c r="G11" s="73" t="s">
        <v>1276</v>
      </c>
      <c r="H11" s="73" t="s">
        <v>1342</v>
      </c>
      <c r="I11" s="43" t="s">
        <v>1264</v>
      </c>
      <c r="J11" s="43" t="s">
        <v>1264</v>
      </c>
      <c r="K11" s="43" t="s">
        <v>1264</v>
      </c>
      <c r="L11" s="43" t="s">
        <v>1266</v>
      </c>
      <c r="M11" s="43"/>
    </row>
    <row r="12" spans="1:13" ht="28.8" x14ac:dyDescent="0.3">
      <c r="A12" s="14">
        <v>122</v>
      </c>
      <c r="B12" s="84" t="s">
        <v>288</v>
      </c>
      <c r="C12" s="85" t="s">
        <v>678</v>
      </c>
      <c r="D12" s="85" t="s">
        <v>1248</v>
      </c>
      <c r="E12" s="86" t="s">
        <v>1340</v>
      </c>
      <c r="F12" s="73">
        <v>45974</v>
      </c>
      <c r="G12" s="73" t="s">
        <v>1276</v>
      </c>
      <c r="H12" s="73" t="s">
        <v>1345</v>
      </c>
      <c r="I12" s="43"/>
      <c r="J12" s="43"/>
      <c r="K12" s="43"/>
      <c r="L12" s="43"/>
      <c r="M12" s="77"/>
    </row>
    <row r="13" spans="1:13" ht="28.8" x14ac:dyDescent="0.3">
      <c r="A13" s="14">
        <v>132</v>
      </c>
      <c r="B13" s="84" t="s">
        <v>308</v>
      </c>
      <c r="C13" s="85" t="s">
        <v>717</v>
      </c>
      <c r="D13" s="85" t="s">
        <v>1243</v>
      </c>
      <c r="E13" s="86" t="s">
        <v>1341</v>
      </c>
      <c r="F13" s="73">
        <v>45974</v>
      </c>
      <c r="G13" s="73" t="s">
        <v>1276</v>
      </c>
      <c r="H13" s="73" t="s">
        <v>1346</v>
      </c>
      <c r="I13" s="43" t="s">
        <v>1264</v>
      </c>
      <c r="J13" s="43" t="s">
        <v>1264</v>
      </c>
      <c r="K13" s="43" t="s">
        <v>1264</v>
      </c>
      <c r="L13" s="43" t="s">
        <v>1264</v>
      </c>
      <c r="M13" s="43"/>
    </row>
    <row r="14" spans="1:13" x14ac:dyDescent="0.3">
      <c r="A14" s="14">
        <v>134</v>
      </c>
      <c r="B14" s="84" t="s">
        <v>312</v>
      </c>
      <c r="C14" s="85" t="s">
        <v>686</v>
      </c>
      <c r="D14" s="85" t="s">
        <v>619</v>
      </c>
      <c r="E14" s="86" t="s">
        <v>1339</v>
      </c>
      <c r="F14" s="73">
        <v>45974</v>
      </c>
      <c r="G14" s="73" t="s">
        <v>1277</v>
      </c>
      <c r="H14" s="73" t="s">
        <v>1347</v>
      </c>
      <c r="I14" s="43" t="s">
        <v>1264</v>
      </c>
      <c r="J14" s="43" t="s">
        <v>1264</v>
      </c>
      <c r="K14" s="43" t="s">
        <v>1264</v>
      </c>
      <c r="L14" s="43" t="s">
        <v>1266</v>
      </c>
      <c r="M14" s="77"/>
    </row>
    <row r="15" spans="1:13" ht="28.8" x14ac:dyDescent="0.3">
      <c r="A15" s="14">
        <v>154</v>
      </c>
      <c r="B15" s="16" t="s">
        <v>353</v>
      </c>
      <c r="C15" s="15" t="s">
        <v>760</v>
      </c>
      <c r="D15" s="15" t="s">
        <v>619</v>
      </c>
      <c r="E15" s="72" t="s">
        <v>1337</v>
      </c>
      <c r="F15" s="73">
        <v>45974</v>
      </c>
      <c r="G15" s="73" t="s">
        <v>1277</v>
      </c>
      <c r="H15" s="73" t="s">
        <v>1343</v>
      </c>
      <c r="I15" s="43" t="s">
        <v>1264</v>
      </c>
      <c r="J15" s="43" t="s">
        <v>1264</v>
      </c>
      <c r="K15" s="43" t="s">
        <v>1269</v>
      </c>
      <c r="L15" s="43" t="s">
        <v>1266</v>
      </c>
      <c r="M15" s="43" t="s">
        <v>1356</v>
      </c>
    </row>
    <row r="16" spans="1:13" ht="28.8" x14ac:dyDescent="0.3">
      <c r="A16" s="14">
        <v>177</v>
      </c>
      <c r="B16" s="16" t="s">
        <v>403</v>
      </c>
      <c r="C16" s="15" t="s">
        <v>785</v>
      </c>
      <c r="D16" s="15" t="s">
        <v>1244</v>
      </c>
      <c r="E16" s="72" t="s">
        <v>1355</v>
      </c>
      <c r="F16" s="73">
        <v>45974</v>
      </c>
      <c r="G16" s="73" t="s">
        <v>1277</v>
      </c>
      <c r="H16" s="73" t="s">
        <v>1351</v>
      </c>
      <c r="I16" s="43" t="s">
        <v>1264</v>
      </c>
      <c r="J16" s="43" t="s">
        <v>1264</v>
      </c>
      <c r="K16" s="43" t="s">
        <v>1264</v>
      </c>
      <c r="L16" s="43" t="s">
        <v>1266</v>
      </c>
      <c r="M16" s="43"/>
    </row>
    <row r="17" spans="1:13" ht="29.4" thickBot="1" x14ac:dyDescent="0.35">
      <c r="A17" s="26">
        <v>210</v>
      </c>
      <c r="B17" s="28" t="s">
        <v>470</v>
      </c>
      <c r="C17" s="27" t="s">
        <v>686</v>
      </c>
      <c r="D17" s="27" t="s">
        <v>619</v>
      </c>
      <c r="E17" s="75" t="s">
        <v>1339</v>
      </c>
      <c r="F17" s="76">
        <v>45974</v>
      </c>
      <c r="G17" s="76" t="s">
        <v>1277</v>
      </c>
      <c r="H17" s="76" t="s">
        <v>1348</v>
      </c>
      <c r="I17" s="51" t="s">
        <v>1264</v>
      </c>
      <c r="J17" s="51" t="s">
        <v>1264</v>
      </c>
      <c r="K17" s="51" t="s">
        <v>1264</v>
      </c>
      <c r="L17" s="51" t="s">
        <v>1266</v>
      </c>
      <c r="M17" s="51"/>
    </row>
  </sheetData>
  <autoFilter ref="A2:M17" xr:uid="{FC0214A7-68B1-4572-9769-570ED03B11E2}"/>
  <mergeCells count="3">
    <mergeCell ref="A1:D1"/>
    <mergeCell ref="E1:H1"/>
    <mergeCell ref="I1:M1"/>
  </mergeCells>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C9FC-BAE6-44BE-A05B-F7A045EC1D1F}">
  <dimension ref="A1:D17"/>
  <sheetViews>
    <sheetView zoomScale="110" zoomScaleNormal="110" workbookViewId="0">
      <pane ySplit="2" topLeftCell="A3" activePane="bottomLeft" state="frozen"/>
      <selection pane="bottomLeft" activeCell="E14" sqref="E14"/>
    </sheetView>
  </sheetViews>
  <sheetFormatPr baseColWidth="10" defaultRowHeight="14.4" x14ac:dyDescent="0.3"/>
  <cols>
    <col min="1" max="1" width="26" style="33" customWidth="1"/>
    <col min="2" max="2" width="24.88671875" style="33" customWidth="1"/>
    <col min="3" max="3" width="61.77734375" style="33" bestFit="1" customWidth="1"/>
    <col min="4" max="4" width="16.77734375" style="1" bestFit="1" customWidth="1"/>
    <col min="5" max="5" width="56.33203125" style="1" customWidth="1"/>
    <col min="6" max="16384" width="11.5546875" style="1"/>
  </cols>
  <sheetData>
    <row r="1" spans="1:4" x14ac:dyDescent="0.3">
      <c r="A1" s="83"/>
      <c r="B1" s="101" t="s">
        <v>1367</v>
      </c>
      <c r="C1" s="101"/>
      <c r="D1" s="103"/>
    </row>
    <row r="2" spans="1:4" ht="15.6" x14ac:dyDescent="0.3">
      <c r="A2" s="4" t="s">
        <v>1358</v>
      </c>
      <c r="B2" s="50" t="s">
        <v>1164</v>
      </c>
      <c r="C2" s="50" t="s">
        <v>8</v>
      </c>
      <c r="D2" s="87" t="s">
        <v>1172</v>
      </c>
    </row>
    <row r="3" spans="1:4" x14ac:dyDescent="0.3">
      <c r="A3" s="115" t="s">
        <v>894</v>
      </c>
      <c r="B3" s="43" t="s">
        <v>1361</v>
      </c>
      <c r="C3" s="43" t="s">
        <v>1387</v>
      </c>
      <c r="D3" s="88">
        <v>45975</v>
      </c>
    </row>
    <row r="4" spans="1:4" ht="28.8" x14ac:dyDescent="0.3">
      <c r="A4" s="116"/>
      <c r="B4" s="43" t="s">
        <v>1363</v>
      </c>
      <c r="C4" s="43" t="s">
        <v>1362</v>
      </c>
      <c r="D4" s="88">
        <v>45975</v>
      </c>
    </row>
    <row r="5" spans="1:4" ht="28.8" x14ac:dyDescent="0.3">
      <c r="A5" s="116"/>
      <c r="B5" s="43" t="s">
        <v>1364</v>
      </c>
      <c r="C5" s="43" t="s">
        <v>1365</v>
      </c>
      <c r="D5" s="88">
        <v>45975</v>
      </c>
    </row>
    <row r="6" spans="1:4" ht="28.8" x14ac:dyDescent="0.3">
      <c r="A6" s="116"/>
      <c r="B6" s="43" t="s">
        <v>1372</v>
      </c>
      <c r="C6" s="43" t="s">
        <v>1373</v>
      </c>
      <c r="D6" s="88">
        <v>45978</v>
      </c>
    </row>
    <row r="7" spans="1:4" x14ac:dyDescent="0.3">
      <c r="A7" s="117"/>
      <c r="B7" s="43" t="s">
        <v>1367</v>
      </c>
      <c r="C7" s="43" t="s">
        <v>1366</v>
      </c>
      <c r="D7" s="88">
        <v>45975</v>
      </c>
    </row>
    <row r="8" spans="1:4" x14ac:dyDescent="0.3">
      <c r="A8" s="115" t="s">
        <v>1359</v>
      </c>
      <c r="B8" s="43" t="s">
        <v>1250</v>
      </c>
      <c r="C8" s="43" t="s">
        <v>1369</v>
      </c>
      <c r="D8" s="88">
        <v>45965</v>
      </c>
    </row>
    <row r="9" spans="1:4" x14ac:dyDescent="0.3">
      <c r="A9" s="116"/>
      <c r="B9" s="43" t="s">
        <v>1173</v>
      </c>
      <c r="C9" s="43" t="s">
        <v>1402</v>
      </c>
      <c r="D9" s="88">
        <v>45965</v>
      </c>
    </row>
    <row r="10" spans="1:4" x14ac:dyDescent="0.3">
      <c r="A10" s="117"/>
      <c r="B10" s="43" t="s">
        <v>1368</v>
      </c>
      <c r="C10" s="43" t="s">
        <v>1370</v>
      </c>
      <c r="D10" s="88">
        <v>45965</v>
      </c>
    </row>
    <row r="11" spans="1:4" ht="28.8" x14ac:dyDescent="0.3">
      <c r="A11" s="156" t="s">
        <v>1360</v>
      </c>
      <c r="B11" s="43" t="s">
        <v>1401</v>
      </c>
      <c r="C11" s="43" t="s">
        <v>1371</v>
      </c>
      <c r="D11" s="88">
        <v>45967</v>
      </c>
    </row>
    <row r="12" spans="1:4" ht="28.8" x14ac:dyDescent="0.3">
      <c r="A12" s="116" t="s">
        <v>1374</v>
      </c>
      <c r="B12" s="43" t="s">
        <v>1390</v>
      </c>
      <c r="C12" s="43" t="s">
        <v>1391</v>
      </c>
      <c r="D12" s="88">
        <v>45980</v>
      </c>
    </row>
    <row r="13" spans="1:4" x14ac:dyDescent="0.3">
      <c r="A13" s="116"/>
      <c r="B13" s="43" t="s">
        <v>1250</v>
      </c>
      <c r="C13" s="43" t="s">
        <v>1400</v>
      </c>
      <c r="D13" s="88">
        <v>45978</v>
      </c>
    </row>
    <row r="14" spans="1:4" ht="43.2" x14ac:dyDescent="0.3">
      <c r="A14" s="117"/>
      <c r="B14" s="43" t="s">
        <v>1392</v>
      </c>
      <c r="C14" s="43" t="s">
        <v>1393</v>
      </c>
      <c r="D14" s="88">
        <v>45980</v>
      </c>
    </row>
    <row r="15" spans="1:4" ht="15" thickBot="1" x14ac:dyDescent="0.35">
      <c r="A15" s="93" t="s">
        <v>1375</v>
      </c>
      <c r="B15" s="51" t="s">
        <v>1388</v>
      </c>
      <c r="C15" s="51" t="s">
        <v>1389</v>
      </c>
      <c r="D15" s="89">
        <v>45980</v>
      </c>
    </row>
    <row r="17" spans="2:4" ht="28.8" customHeight="1" x14ac:dyDescent="0.3">
      <c r="B17" s="118"/>
      <c r="C17" s="118"/>
      <c r="D17" s="118"/>
    </row>
  </sheetData>
  <autoFilter ref="A2:D15" xr:uid="{FC0214A7-68B1-4572-9769-570ED03B11E2}"/>
  <mergeCells count="5">
    <mergeCell ref="B1:D1"/>
    <mergeCell ref="A3:A7"/>
    <mergeCell ref="A12:A14"/>
    <mergeCell ref="B17:D17"/>
    <mergeCell ref="A8:A10"/>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Overview</vt:lpstr>
      <vt:lpstr>Inclusion criteria</vt:lpstr>
      <vt:lpstr>Privacy documenation</vt:lpstr>
      <vt:lpstr>Privacy documentation QCA</vt:lpstr>
      <vt:lpstr>Readability</vt:lpstr>
      <vt:lpstr>Contradictions</vt:lpstr>
      <vt:lpstr>Datasets</vt:lpstr>
      <vt:lpstr>Dataset QCA</vt:lpstr>
      <vt:lpstr>Platforms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Hartmann</dc:creator>
  <cp:lastModifiedBy>Felix Hartmann</cp:lastModifiedBy>
  <cp:lastPrinted>2025-11-10T12:44:51Z</cp:lastPrinted>
  <dcterms:created xsi:type="dcterms:W3CDTF">2025-09-11T07:44:17Z</dcterms:created>
  <dcterms:modified xsi:type="dcterms:W3CDTF">2026-01-18T15:54:32Z</dcterms:modified>
</cp:coreProperties>
</file>